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xr:revisionPtr revIDLastSave="0" documentId="8_{AC369156-EDB7-4722-BE54-EFCE785187E2}" xr6:coauthVersionLast="47" xr6:coauthVersionMax="47" xr10:uidLastSave="{00000000-0000-0000-0000-000000000000}"/>
  <bookViews>
    <workbookView xWindow="240" yWindow="105" windowWidth="14805" windowHeight="8010" firstSheet="4" activeTab="7" xr2:uid="{00000000-000D-0000-FFFF-FFFF00000000}"/>
  </bookViews>
  <sheets>
    <sheet name="Sales_Data" sheetId="1" r:id="rId1"/>
    <sheet name="Customer_Data" sheetId="3" r:id="rId2"/>
    <sheet name="Product_Data" sheetId="2" r:id="rId3"/>
    <sheet name="Targets" sheetId="4" r:id="rId4"/>
    <sheet name="Model" sheetId="5" r:id="rId5"/>
    <sheet name="Analysis" sheetId="6" r:id="rId6"/>
    <sheet name="Dashboard" sheetId="7" r:id="rId7"/>
    <sheet name="Insight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6" l="1" a="1"/>
  <c r="G28" i="6"/>
  <c r="G23" i="6"/>
  <c r="G22" i="6" a="1"/>
  <c r="G22" i="6"/>
  <c r="I19" i="6" a="1"/>
  <c r="I19" i="6"/>
  <c r="C19" i="6" a="1"/>
  <c r="C19" i="6"/>
  <c r="B26" i="6" a="1"/>
  <c r="B26" i="6"/>
  <c r="C26" i="6" a="1"/>
  <c r="C26" i="6"/>
  <c r="D19" i="6" a="1"/>
  <c r="D19" i="6"/>
  <c r="M16" i="6" a="1"/>
  <c r="M16" i="6"/>
  <c r="N16" i="6" a="1"/>
  <c r="N16" i="6"/>
  <c r="N13" i="6" a="1"/>
  <c r="N13" i="6"/>
  <c r="N12" i="6" a="1"/>
  <c r="N12" i="6"/>
  <c r="N11" i="6" a="1"/>
  <c r="N11" i="6"/>
  <c r="G2" i="4" a="1"/>
  <c r="G2" i="4"/>
  <c r="M5" i="6" a="1"/>
  <c r="M5" i="6"/>
  <c r="O5" i="6" s="1" a="1"/>
  <c r="J15" i="6"/>
  <c r="I11" i="6"/>
  <c r="J9" i="6" a="1"/>
  <c r="J9" i="6"/>
  <c r="J5" i="6" a="1"/>
  <c r="J5" i="6"/>
  <c r="I7" i="6"/>
  <c r="I3" i="6"/>
  <c r="G19" i="6"/>
  <c r="F17" i="6"/>
  <c r="G15" i="6"/>
  <c r="G11" i="6"/>
  <c r="G6" i="6"/>
  <c r="D1" i="5" a="1"/>
  <c r="D1" i="5"/>
  <c r="K19" i="6" l="1" a="1"/>
  <c r="K19" i="6" s="1"/>
  <c r="J19" i="6" a="1"/>
  <c r="J19" i="6" s="1"/>
  <c r="C14" i="6"/>
  <c r="C13" i="6"/>
  <c r="C12" i="6"/>
  <c r="C11" i="6"/>
  <c r="O5" i="6"/>
  <c r="C7" i="6"/>
  <c r="C4" i="7" s="1"/>
  <c r="C6" i="6"/>
  <c r="W2" i="5" a="1"/>
  <c r="W2" i="5" s="1"/>
  <c r="C2" i="5" a="1"/>
  <c r="C2" i="5" s="1"/>
  <c r="B2" i="5" a="1"/>
  <c r="B2" i="5" s="1"/>
  <c r="A2" i="5" a="1"/>
  <c r="A2" i="5" s="1"/>
  <c r="O2" i="5" a="1"/>
  <c r="N2" i="5" a="1"/>
  <c r="N2" i="5" s="1"/>
  <c r="P5" i="6" l="1" a="1"/>
  <c r="P5" i="6" s="1"/>
  <c r="C5" i="7"/>
  <c r="O2" i="5"/>
  <c r="P2" i="5" l="1" a="1"/>
  <c r="P2" i="5" s="1"/>
  <c r="Q2" i="5" s="1" a="1"/>
  <c r="C3" i="6"/>
  <c r="Q2" i="5"/>
  <c r="T2" i="5" a="1"/>
  <c r="R2" i="5" l="1" a="1"/>
  <c r="C4" i="6"/>
  <c r="C2" i="7" s="1"/>
  <c r="T2" i="5"/>
  <c r="R2" i="5"/>
  <c r="U2" i="5" a="1"/>
  <c r="C5" i="6" l="1"/>
  <c r="C3" i="7" s="1"/>
  <c r="S2" i="5" a="1"/>
  <c r="S2" i="5" s="1"/>
  <c r="U2" i="5"/>
  <c r="V2" i="5" s="1" a="1"/>
  <c r="V2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<sst xmlns="http://schemas.openxmlformats.org/spreadsheetml/2006/main" count="327" uniqueCount="137">
  <si>
    <t>TBL_SALES_RAW</t>
  </si>
  <si>
    <t>Customer_ID</t>
  </si>
  <si>
    <t>Order_ID</t>
  </si>
  <si>
    <t>Date</t>
  </si>
  <si>
    <t>Region</t>
  </si>
  <si>
    <t>Product</t>
  </si>
  <si>
    <t>Category</t>
  </si>
  <si>
    <t>Units</t>
  </si>
  <si>
    <t>Unit_Price ($)</t>
  </si>
  <si>
    <t>Discount</t>
  </si>
  <si>
    <t>Sales_Rep</t>
  </si>
  <si>
    <t>C001</t>
  </si>
  <si>
    <t>North</t>
  </si>
  <si>
    <t>Quantum Headphones</t>
  </si>
  <si>
    <t>Electronics</t>
  </si>
  <si>
    <t>Raj</t>
  </si>
  <si>
    <t>C002</t>
  </si>
  <si>
    <t>South</t>
  </si>
  <si>
    <t>AI Coffee Mug</t>
  </si>
  <si>
    <t>Home</t>
  </si>
  <si>
    <t>Priya</t>
  </si>
  <si>
    <t>C003</t>
  </si>
  <si>
    <t>East</t>
  </si>
  <si>
    <t>Smart Lamp</t>
  </si>
  <si>
    <t>Amit</t>
  </si>
  <si>
    <t>C004</t>
  </si>
  <si>
    <t>West</t>
  </si>
  <si>
    <t>Gaming Mouse</t>
  </si>
  <si>
    <t>Sneha</t>
  </si>
  <si>
    <t>C005</t>
  </si>
  <si>
    <t>Office Chair</t>
  </si>
  <si>
    <t>Furniture</t>
  </si>
  <si>
    <t>Standing Desk</t>
  </si>
  <si>
    <t>C006</t>
  </si>
  <si>
    <t>C007</t>
  </si>
  <si>
    <t>C008</t>
  </si>
  <si>
    <t>TBL_CUSTOMERS</t>
  </si>
  <si>
    <t>Customer_Name</t>
  </si>
  <si>
    <t>City</t>
  </si>
  <si>
    <t>Segment</t>
  </si>
  <si>
    <t>Arjun Mehta</t>
  </si>
  <si>
    <t>Bangalore</t>
  </si>
  <si>
    <t>Retail</t>
  </si>
  <si>
    <t>Neha Sharma</t>
  </si>
  <si>
    <t>Mumbai</t>
  </si>
  <si>
    <t>Corporate</t>
  </si>
  <si>
    <t>Rohit Verma</t>
  </si>
  <si>
    <t>Delhi</t>
  </si>
  <si>
    <t>Pooja Iyer</t>
  </si>
  <si>
    <t>Chennai</t>
  </si>
  <si>
    <t>Karan Patel</t>
  </si>
  <si>
    <t>Ahmedabad</t>
  </si>
  <si>
    <t>Simran Kaur</t>
  </si>
  <si>
    <t>Punjab</t>
  </si>
  <si>
    <t>Vikram Singh</t>
  </si>
  <si>
    <t>Jaipur</t>
  </si>
  <si>
    <t>Ananya Das</t>
  </si>
  <si>
    <t>Kolkata</t>
  </si>
  <si>
    <t>TBL_PRODUCTS</t>
  </si>
  <si>
    <t>Cost_Price ($)</t>
  </si>
  <si>
    <t>TBL_TARGETS</t>
  </si>
  <si>
    <t>REGION &amp; REP DATA</t>
  </si>
  <si>
    <t>UNIQUE SALES REP</t>
  </si>
  <si>
    <t>Monthly_Target ($)</t>
  </si>
  <si>
    <t>Customer Name</t>
  </si>
  <si>
    <t>Cost Price ($)</t>
  </si>
  <si>
    <t>Revenue ($)</t>
  </si>
  <si>
    <t>Discount Amount ($)</t>
  </si>
  <si>
    <t>Net Revenue ($)</t>
  </si>
  <si>
    <t>Profit ($)</t>
  </si>
  <si>
    <t>Profit Performance</t>
  </si>
  <si>
    <t>High Value</t>
  </si>
  <si>
    <t>High Risk</t>
  </si>
  <si>
    <t>Order Value</t>
  </si>
  <si>
    <t>Category Confirmation</t>
  </si>
  <si>
    <t>Total Revenue ($)</t>
  </si>
  <si>
    <t xml:space="preserve">Total Net Sales </t>
  </si>
  <si>
    <t>Sales Performance</t>
  </si>
  <si>
    <t>Total Net Sales ($)</t>
  </si>
  <si>
    <t>Regions</t>
  </si>
  <si>
    <t>Sales Rep</t>
  </si>
  <si>
    <t>Monthly Target ($)</t>
  </si>
  <si>
    <t>Actual Sales ($)</t>
  </si>
  <si>
    <t>Status</t>
  </si>
  <si>
    <t>Total Profits ($)</t>
  </si>
  <si>
    <t>Catrgory</t>
  </si>
  <si>
    <t>Total Sales ($)</t>
  </si>
  <si>
    <t>Total Orders ($)</t>
  </si>
  <si>
    <t>Total ($)</t>
  </si>
  <si>
    <t>Average Discount %</t>
  </si>
  <si>
    <t>Total No. of Orders</t>
  </si>
  <si>
    <t xml:space="preserve">Total Orders </t>
  </si>
  <si>
    <t>BUSINESS PERFORMANCE INSIGHTS</t>
  </si>
  <si>
    <t>&gt;10%</t>
  </si>
  <si>
    <t>All Unique</t>
  </si>
  <si>
    <t>Best performing region (By Profit)</t>
  </si>
  <si>
    <t>Total No.</t>
  </si>
  <si>
    <t xml:space="preserve">Most Profitable Product </t>
  </si>
  <si>
    <t>Salea Reps</t>
  </si>
  <si>
    <t>Best Sales Rep</t>
  </si>
  <si>
    <t xml:space="preserve">Average Profit </t>
  </si>
  <si>
    <t>Products</t>
  </si>
  <si>
    <t>Worst Sales Rep</t>
  </si>
  <si>
    <t>Discount  %</t>
  </si>
  <si>
    <t>&gt;20%</t>
  </si>
  <si>
    <t>Does Discount improve profit or reduce it</t>
  </si>
  <si>
    <t>Reduce</t>
  </si>
  <si>
    <t>Avg Profit ($)</t>
  </si>
  <si>
    <t>Total Profit ($)</t>
  </si>
  <si>
    <t>Profits from Largest to Smallest ($)</t>
  </si>
  <si>
    <t>Profits By Region</t>
  </si>
  <si>
    <t>Profit by Segment</t>
  </si>
  <si>
    <t>Profit with discount Vs Without</t>
  </si>
  <si>
    <t>Profit without Discount ($)</t>
  </si>
  <si>
    <t>Profit with Discount ($)</t>
  </si>
  <si>
    <t>Product Name</t>
  </si>
  <si>
    <t>Profit</t>
  </si>
  <si>
    <t>High Discount but Profitable Orders</t>
  </si>
  <si>
    <t>Discount % above</t>
  </si>
  <si>
    <t>Profit above</t>
  </si>
  <si>
    <t xml:space="preserve"> </t>
  </si>
  <si>
    <t xml:space="preserve">Products </t>
  </si>
  <si>
    <t xml:space="preserve">Total Sales ($) </t>
  </si>
  <si>
    <t>Avg. Discount %</t>
  </si>
  <si>
    <t>Target Achievement %</t>
  </si>
  <si>
    <t>INSIGHTS</t>
  </si>
  <si>
    <t xml:space="preserve">Which Region Is the strongest and why ? </t>
  </si>
  <si>
    <t>Ans</t>
  </si>
  <si>
    <t>The Southern Region is by far the region with the maximum net revenue and profits.</t>
  </si>
  <si>
    <t>Which product drives profit?</t>
  </si>
  <si>
    <t>The Standing desk drives the most profits.</t>
  </si>
  <si>
    <t>Are discounts effective ?</t>
  </si>
  <si>
    <t>Too little data to judge accurately.</t>
  </si>
  <si>
    <t>Who is the top and bottom sales rep?</t>
  </si>
  <si>
    <t xml:space="preserve">Priya and Raj respectively. </t>
  </si>
  <si>
    <t>Are corporate customers more profitable ?</t>
  </si>
  <si>
    <t xml:space="preserve">No, retail customers drive more revenues and profits.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</si>
</sst>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\-mm\-yy;@"/>
    <numFmt numFmtId="165" formatCode="0.0%"/>
  </numFmts>
  <fonts count="4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onsolas"/>
    </font>
  </fonts>
  <fills count="9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1" xfId="0" applyBorder="1"/>
    <xf numFmtId="3" fontId="0" fillId="0" borderId="1" xfId="0" applyNumberFormat="1" applyBorder="1"/>
    <xf numFmtId="3" fontId="0" fillId="0" borderId="0" xfId="0" applyNumberFormat="1"/>
    <xf numFmtId="164" fontId="0" fillId="0" borderId="1" xfId="0" applyNumberFormat="1" applyBorder="1"/>
    <xf numFmtId="164" fontId="0" fillId="0" borderId="0" xfId="0" applyNumberFormat="1"/>
    <xf numFmtId="4" fontId="0" fillId="0" borderId="0" xfId="0" applyNumberFormat="1"/>
    <xf numFmtId="9" fontId="0" fillId="0" borderId="1" xfId="0" applyNumberFormat="1" applyBorder="1"/>
    <xf numFmtId="9" fontId="0" fillId="0" borderId="0" xfId="0" applyNumberFormat="1"/>
    <xf numFmtId="0" fontId="0" fillId="0" borderId="2" xfId="0" applyBorder="1"/>
    <xf numFmtId="0" fontId="0" fillId="0" borderId="3" xfId="0" applyBorder="1"/>
    <xf numFmtId="3" fontId="0" fillId="0" borderId="2" xfId="0" applyNumberFormat="1" applyBorder="1"/>
    <xf numFmtId="0" fontId="1" fillId="2" borderId="4" xfId="0" applyFont="1" applyFill="1" applyBorder="1"/>
    <xf numFmtId="164" fontId="1" fillId="2" borderId="5" xfId="0" applyNumberFormat="1" applyFont="1" applyFill="1" applyBorder="1"/>
    <xf numFmtId="0" fontId="1" fillId="2" borderId="5" xfId="0" applyFont="1" applyFill="1" applyBorder="1"/>
    <xf numFmtId="3" fontId="1" fillId="2" borderId="5" xfId="0" applyNumberFormat="1" applyFont="1" applyFill="1" applyBorder="1"/>
    <xf numFmtId="9" fontId="1" fillId="2" borderId="5" xfId="0" applyNumberFormat="1" applyFont="1" applyFill="1" applyBorder="1"/>
    <xf numFmtId="0" fontId="1" fillId="2" borderId="6" xfId="0" applyFont="1" applyFill="1" applyBorder="1"/>
    <xf numFmtId="3" fontId="1" fillId="2" borderId="6" xfId="0" applyNumberFormat="1" applyFont="1" applyFill="1" applyBorder="1"/>
    <xf numFmtId="0" fontId="0" fillId="0" borderId="7" xfId="0" applyBorder="1"/>
    <xf numFmtId="164" fontId="0" fillId="0" borderId="8" xfId="0" applyNumberFormat="1" applyBorder="1"/>
    <xf numFmtId="0" fontId="0" fillId="0" borderId="8" xfId="0" applyBorder="1"/>
    <xf numFmtId="3" fontId="0" fillId="0" borderId="8" xfId="0" applyNumberFormat="1" applyBorder="1"/>
    <xf numFmtId="9" fontId="0" fillId="0" borderId="8" xfId="0" applyNumberFormat="1" applyBorder="1"/>
    <xf numFmtId="0" fontId="0" fillId="0" borderId="9" xfId="0" applyBorder="1"/>
    <xf numFmtId="3" fontId="0" fillId="0" borderId="9" xfId="0" applyNumberFormat="1" applyBorder="1"/>
    <xf numFmtId="0" fontId="2" fillId="2" borderId="1" xfId="0" applyFont="1" applyFill="1" applyBorder="1"/>
    <xf numFmtId="3" fontId="2" fillId="2" borderId="1" xfId="0" applyNumberFormat="1" applyFont="1" applyFill="1" applyBorder="1"/>
    <xf numFmtId="9" fontId="2" fillId="2" borderId="1" xfId="0" applyNumberFormat="1" applyFont="1" applyFill="1" applyBorder="1"/>
    <xf numFmtId="3" fontId="0" fillId="4" borderId="1" xfId="0" applyNumberFormat="1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3" fontId="0" fillId="4" borderId="1" xfId="0" applyNumberFormat="1" applyFill="1" applyBorder="1" applyAlignment="1">
      <alignment wrapText="1"/>
    </xf>
    <xf numFmtId="0" fontId="3" fillId="0" borderId="0" xfId="0" applyFont="1" applyAlignment="1">
      <alignment wrapText="1"/>
    </xf>
    <xf numFmtId="0" fontId="1" fillId="5" borderId="1" xfId="0" applyFont="1" applyFill="1" applyBorder="1"/>
    <xf numFmtId="0" fontId="0" fillId="0" borderId="0" xfId="0" applyAlignment="1"/>
    <xf numFmtId="0" fontId="0" fillId="0" borderId="1" xfId="0" applyBorder="1" applyAlignment="1">
      <alignment wrapText="1"/>
    </xf>
    <xf numFmtId="165" fontId="0" fillId="4" borderId="1" xfId="0" applyNumberFormat="1" applyFill="1" applyBorder="1"/>
    <xf numFmtId="0" fontId="1" fillId="5" borderId="2" xfId="0" applyFont="1" applyFill="1" applyBorder="1"/>
    <xf numFmtId="0" fontId="0" fillId="6" borderId="1" xfId="0" applyFont="1" applyFill="1" applyBorder="1"/>
    <xf numFmtId="0" fontId="0" fillId="0" borderId="1" xfId="0" applyFont="1" applyBorder="1"/>
    <xf numFmtId="0" fontId="0" fillId="0" borderId="1" xfId="0" applyBorder="1" applyAlignment="1"/>
    <xf numFmtId="10" fontId="0" fillId="4" borderId="1" xfId="0" applyNumberFormat="1" applyFill="1" applyBorder="1" applyAlignment="1">
      <alignment wrapText="1"/>
    </xf>
    <xf numFmtId="0" fontId="0" fillId="0" borderId="0" xfId="0" applyBorder="1"/>
    <xf numFmtId="3" fontId="0" fillId="7" borderId="1" xfId="0" applyNumberFormat="1" applyFill="1" applyBorder="1"/>
    <xf numFmtId="0" fontId="0" fillId="7" borderId="0" xfId="0" applyFill="1" applyBorder="1"/>
    <xf numFmtId="3" fontId="0" fillId="4" borderId="3" xfId="0" applyNumberFormat="1" applyFill="1" applyBorder="1"/>
    <xf numFmtId="0" fontId="1" fillId="5" borderId="1" xfId="0" applyFont="1" applyFill="1" applyBorder="1" applyAlignment="1">
      <alignment horizontal="left"/>
    </xf>
    <xf numFmtId="0" fontId="0" fillId="8" borderId="1" xfId="0" applyFill="1" applyBorder="1"/>
    <xf numFmtId="0" fontId="0" fillId="3" borderId="0" xfId="0" applyFill="1" applyAlignment="1">
      <alignment horizontal="center"/>
    </xf>
    <xf numFmtId="0" fontId="0" fillId="0" borderId="10" xfId="0" applyBorder="1" applyAlignment="1">
      <alignment horizontal="center"/>
    </xf>
    <xf numFmtId="3" fontId="0" fillId="4" borderId="2" xfId="0" applyNumberFormat="1" applyFill="1" applyBorder="1" applyAlignment="1">
      <alignment horizontal="right"/>
    </xf>
    <xf numFmtId="3" fontId="0" fillId="4" borderId="3" xfId="0" applyNumberFormat="1" applyFill="1" applyBorder="1" applyAlignment="1">
      <alignment horizontal="right"/>
    </xf>
    <xf numFmtId="0" fontId="1" fillId="5" borderId="6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left"/>
    </xf>
    <xf numFmtId="0" fontId="1" fillId="5" borderId="11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3" fontId="0" fillId="0" borderId="2" xfId="0" applyNumberFormat="1" applyBorder="1" applyAlignment="1"/>
    <xf numFmtId="3" fontId="0" fillId="0" borderId="3" xfId="0" applyNumberFormat="1" applyBorder="1" applyAlignment="1"/>
    <xf numFmtId="3" fontId="0" fillId="4" borderId="2" xfId="0" applyNumberFormat="1" applyFill="1" applyBorder="1" applyAlignment="1"/>
    <xf numFmtId="3" fontId="0" fillId="4" borderId="3" xfId="0" applyNumberFormat="1" applyFill="1" applyBorder="1" applyAlignment="1"/>
    <xf numFmtId="0" fontId="1" fillId="2" borderId="10" xfId="0" applyFont="1" applyFill="1" applyBorder="1" applyAlignment="1">
      <alignment horizontal="center"/>
    </xf>
    <xf numFmtId="0" fontId="1" fillId="5" borderId="1" xfId="0" applyFont="1" applyFill="1" applyBorder="1" applyAlignment="1">
      <alignment wrapText="1"/>
    </xf>
    <xf numFmtId="0" fontId="1" fillId="7" borderId="0" xfId="0" applyFont="1" applyFill="1" applyBorder="1"/>
    <xf numFmtId="3" fontId="0" fillId="7" borderId="0" xfId="0" applyNumberFormat="1" applyFill="1" applyBorder="1"/>
    <xf numFmtId="0" fontId="1" fillId="5" borderId="11" xfId="0" applyFont="1" applyFill="1" applyBorder="1" applyAlignment="1"/>
    <xf numFmtId="3" fontId="0" fillId="0" borderId="3" xfId="0" applyNumberFormat="1" applyBorder="1"/>
    <xf numFmtId="0" fontId="1" fillId="5" borderId="8" xfId="0" applyFont="1" applyFill="1" applyBorder="1"/>
    <xf numFmtId="0" fontId="1" fillId="5" borderId="9" xfId="0" applyFont="1" applyFill="1" applyBorder="1" applyAlignment="1">
      <alignment horizontal="center"/>
    </xf>
    <xf numFmtId="0" fontId="1" fillId="5" borderId="5" xfId="0" applyFont="1" applyFill="1" applyBorder="1"/>
    <xf numFmtId="10" fontId="0" fillId="0" borderId="1" xfId="0" applyNumberFormat="1" applyBorder="1"/>
    <xf numFmtId="0" fontId="0" fillId="0" borderId="12" xfId="0" applyBorder="1"/>
  </cellXfs>
  <cellStyles count="1">
    <cellStyle name="Normal" xfId="0" builtinId="0"/>
  </cellStyles>
  <dxfs count="44">
    <dxf>
      <font>
        <color theme="0"/>
      </font>
      <fill>
        <patternFill patternType="solid">
          <bgColor theme="3" tint="9.9978637043366805E-2"/>
        </patternFill>
      </fill>
    </dxf>
    <dxf>
      <font>
        <color theme="1"/>
      </font>
      <fill>
        <patternFill patternType="solid">
          <bgColor theme="3" tint="0.749992370372631"/>
        </patternFill>
      </fill>
    </dxf>
    <dxf>
      <font>
        <color theme="1"/>
      </font>
      <fill>
        <patternFill patternType="solid">
          <bgColor theme="3" tint="0.89999084444715716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numFmt numFmtId="3" formatCode="#,##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3" formatCode="#,##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3" formatCode="0%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14009]dd\-mm\-yy;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" formatCode="#,##0"/>
      <fill>
        <patternFill patternType="solid">
          <fgColor indexed="64"/>
          <bgColor theme="3" tint="9.9978637043366805E-2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and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Analysis!$D$18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Analysis!$B$19:$B$22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Analysis!$D$19:$D$22</c:f>
              <c:numCache>
                <c:formatCode>#,##0</c:formatCode>
                <c:ptCount val="4"/>
                <c:pt idx="0">
                  <c:v>11000</c:v>
                </c:pt>
                <c:pt idx="1">
                  <c:v>15460</c:v>
                </c:pt>
                <c:pt idx="2">
                  <c:v>13175</c:v>
                </c:pt>
                <c:pt idx="3">
                  <c:v>9030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38-4B77-951B-BF092450CEB0}"/>
            </c:ext>
          </c:extLst>
        </c:ser>
        <c:ser>
          <c:idx val="0"/>
          <c:order val="1"/>
          <c:tx>
            <c:strRef>
              <c:f>Analysis!$C$18</c:f>
              <c:strCache>
                <c:ptCount val="1"/>
                <c:pt idx="0">
                  <c:v>Net Revenue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Analysis!$B$19:$B$22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Analysis!$C$19:$C$22</c:f>
              <c:numCache>
                <c:formatCode>#,##0</c:formatCode>
                <c:ptCount val="4"/>
                <c:pt idx="0">
                  <c:v>33400</c:v>
                </c:pt>
                <c:pt idx="1">
                  <c:v>64760</c:v>
                </c:pt>
                <c:pt idx="2">
                  <c:v>37675</c:v>
                </c:pt>
                <c:pt idx="3">
                  <c:v>30830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38-4B77-951B-BF092450C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1987592"/>
        <c:axId val="2144229384"/>
      </c:barChart>
      <c:catAx>
        <c:axId val="2001987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229384"/>
        <c:crosses val="autoZero"/>
        <c:auto val="1"/>
        <c:lblAlgn val="ctr"/>
        <c:lblOffset val="100"/>
        <c:noMultiLvlLbl val="0"/>
      </c:catAx>
      <c:valAx>
        <c:axId val="2144229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987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Analysis!$C$25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Analysis!$B$26:$B$31</c:f>
              <c:strCache>
                <c:ptCount val="6"/>
                <c:pt idx="0">
                  <c:v>AI Coffee Mug</c:v>
                </c:pt>
                <c:pt idx="1">
                  <c:v>Gaming Mouse</c:v>
                </c:pt>
                <c:pt idx="2">
                  <c:v>Office Chair</c:v>
                </c:pt>
                <c:pt idx="3">
                  <c:v>Quantum Headphones</c:v>
                </c:pt>
                <c:pt idx="4">
                  <c:v>Smart Lamp</c:v>
                </c:pt>
                <c:pt idx="5">
                  <c:v>Standing Desk</c:v>
                </c:pt>
              </c:strCache>
            </c:strRef>
          </c:cat>
          <c:val>
            <c:numRef>
              <c:f>Analysis!$C$26:$C$31</c:f>
              <c:numCache>
                <c:formatCode>#,##0</c:formatCode>
                <c:ptCount val="6"/>
                <c:pt idx="0">
                  <c:v>6640</c:v>
                </c:pt>
                <c:pt idx="1">
                  <c:v>6450</c:v>
                </c:pt>
                <c:pt idx="2">
                  <c:v>6200</c:v>
                </c:pt>
                <c:pt idx="3">
                  <c:v>11250</c:v>
                </c:pt>
                <c:pt idx="4">
                  <c:v>4375</c:v>
                </c:pt>
                <c:pt idx="5">
                  <c:v>13750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3D-4627-92F3-2BA3DB27B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400135"/>
        <c:axId val="52598791"/>
      </c:barChart>
      <c:catAx>
        <c:axId val="28400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98791"/>
        <c:crosses val="autoZero"/>
        <c:auto val="1"/>
        <c:lblAlgn val="ctr"/>
        <c:lblOffset val="100"/>
        <c:noMultiLvlLbl val="0"/>
      </c:catAx>
      <c:valAx>
        <c:axId val="52598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00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Rep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Analysis!$O$4</c:f>
              <c:strCache>
                <c:ptCount val="1"/>
                <c:pt idx="0">
                  <c:v>Actual Sales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Analysis!$M$5:$M$8</c:f>
              <c:strCache>
                <c:ptCount val="4"/>
                <c:pt idx="0">
                  <c:v>Amit</c:v>
                </c:pt>
                <c:pt idx="1">
                  <c:v>Priya</c:v>
                </c:pt>
                <c:pt idx="2">
                  <c:v>Raj</c:v>
                </c:pt>
                <c:pt idx="3">
                  <c:v>Sneha</c:v>
                </c:pt>
              </c:strCache>
            </c:strRef>
          </c:cat>
          <c:val>
            <c:numRef>
              <c:f>Analysis!$O$5:$O$8</c:f>
              <c:numCache>
                <c:formatCode>#,##0</c:formatCode>
                <c:ptCount val="4"/>
                <c:pt idx="0">
                  <c:v>37675</c:v>
                </c:pt>
                <c:pt idx="1">
                  <c:v>64760</c:v>
                </c:pt>
                <c:pt idx="2">
                  <c:v>33400</c:v>
                </c:pt>
                <c:pt idx="3">
                  <c:v>30830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33-4DAA-B018-C354DBAEBA2D}"/>
            </c:ext>
          </c:extLst>
        </c:ser>
        <c:ser>
          <c:idx val="0"/>
          <c:order val="1"/>
          <c:tx>
            <c:strRef>
              <c:f>Analysis!$N$4</c:f>
              <c:strCache>
                <c:ptCount val="1"/>
                <c:pt idx="0">
                  <c:v>Monthly Target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Analysis!$M$5:$M$8</c:f>
              <c:strCache>
                <c:ptCount val="4"/>
                <c:pt idx="0">
                  <c:v>Amit</c:v>
                </c:pt>
                <c:pt idx="1">
                  <c:v>Priya</c:v>
                </c:pt>
                <c:pt idx="2">
                  <c:v>Raj</c:v>
                </c:pt>
                <c:pt idx="3">
                  <c:v>Sneha</c:v>
                </c:pt>
              </c:strCache>
            </c:strRef>
          </c:cat>
          <c:val>
            <c:numRef>
              <c:f>Analysis!$N$5:$N$8</c:f>
              <c:numCache>
                <c:formatCode>#,##0</c:formatCode>
                <c:ptCount val="4"/>
                <c:pt idx="0">
                  <c:v>55000</c:v>
                </c:pt>
                <c:pt idx="1">
                  <c:v>60000</c:v>
                </c:pt>
                <c:pt idx="2">
                  <c:v>50000</c:v>
                </c:pt>
                <c:pt idx="3">
                  <c:v>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33-4DAA-B018-C354DBAEB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1310088"/>
        <c:axId val="2131312136"/>
      </c:barChart>
      <c:catAx>
        <c:axId val="2131310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312136"/>
        <c:crosses val="autoZero"/>
        <c:auto val="1"/>
        <c:lblAlgn val="ctr"/>
        <c:lblOffset val="100"/>
        <c:noMultiLvlLbl val="0"/>
      </c:catAx>
      <c:valAx>
        <c:axId val="2131312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310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6</xdr:row>
      <xdr:rowOff>9525</xdr:rowOff>
    </xdr:from>
    <xdr:to>
      <xdr:col>6</xdr:col>
      <xdr:colOff>600075</xdr:colOff>
      <xdr:row>20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E92152-3F81-F933-2A5A-6FCABE3C7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590550</xdr:colOff>
      <xdr:row>0</xdr:row>
      <xdr:rowOff>152400</xdr:rowOff>
    </xdr:from>
    <xdr:to>
      <xdr:col>15</xdr:col>
      <xdr:colOff>285750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97C3F0-A381-F571-F0C1-C005417E7D4D}"/>
            </a:ext>
            <a:ext uri="{147F2762-F138-4A5C-976F-8EAC2B608ADB}">
              <a16:predDERef xmlns:a16="http://schemas.microsoft.com/office/drawing/2014/main" pred="{61E92152-3F81-F933-2A5A-6FCABE3C7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600075</xdr:colOff>
      <xdr:row>16</xdr:row>
      <xdr:rowOff>180975</xdr:rowOff>
    </xdr:from>
    <xdr:to>
      <xdr:col>15</xdr:col>
      <xdr:colOff>295275</xdr:colOff>
      <xdr:row>31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321934-4F7F-C611-5718-EF125550E996}"/>
            </a:ext>
            <a:ext uri="{147F2762-F138-4A5C-976F-8EAC2B608ADB}">
              <a16:predDERef xmlns:a16="http://schemas.microsoft.com/office/drawing/2014/main" pred="{7C97C3F0-A381-F571-F0C1-C005417E7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A926E7-26CF-4590-9519-21BF2A50C37A}" name="tbl_sales_raw" displayName="tbl_sales_raw" ref="A2:J22" totalsRowShown="0" headerRowDxfId="43" headerRowBorderDxfId="41" tableBorderDxfId="42" totalsRowBorderDxfId="40">
  <autoFilter ref="A2:J22" xr:uid="{48A926E7-26CF-4590-9519-21BF2A50C37A}"/>
  <tableColumns count="10">
    <tableColumn id="14" xr3:uid="{3601DC74-2C7A-4F93-8460-2B4C356537EC}" name="Customer_ID" dataDxfId="39"/>
    <tableColumn id="1" xr3:uid="{EA12AF3C-A7CD-4683-9D35-27A88248DB58}" name="Order_ID" dataDxfId="38"/>
    <tableColumn id="2" xr3:uid="{A907D27B-295B-470A-93D5-5E7366D7B34E}" name="Date" dataDxfId="37"/>
    <tableColumn id="5" xr3:uid="{CC9D01A7-7711-4DE1-A5EA-FE6679F90F52}" name="Region" dataDxfId="36"/>
    <tableColumn id="6" xr3:uid="{AE45AC74-77C2-4251-9020-8011D7407269}" name="Product" dataDxfId="35"/>
    <tableColumn id="7" xr3:uid="{3C111A01-5BA2-491F-8BCE-F31CFA0D06EB}" name="Category" dataDxfId="34"/>
    <tableColumn id="9" xr3:uid="{389FB7AC-4BAA-4D65-B81C-E9A6F393DD9C}" name="Units" dataDxfId="33"/>
    <tableColumn id="10" xr3:uid="{E5C1F345-15CD-4050-A7B1-F9AE24888A00}" name="Unit_Price ($)" dataDxfId="32"/>
    <tableColumn id="11" xr3:uid="{AA57E5D5-68E0-4B0A-B003-2BDDE916C9B1}" name="Discount" dataDxfId="31"/>
    <tableColumn id="12" xr3:uid="{1BF242C6-6096-46BA-B969-D51C9A9B4B96}" name="Sales_Rep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19E7C1-70C3-4659-B283-AA4A0FF46A34}" name="tbl_customers" displayName="tbl_customers" ref="A2:D10" totalsRowShown="0" headerRowDxfId="29" headerRowBorderDxfId="27" tableBorderDxfId="28" totalsRowBorderDxfId="26">
  <autoFilter ref="A2:D10" xr:uid="{1019E7C1-70C3-4659-B283-AA4A0FF46A34}"/>
  <tableColumns count="4">
    <tableColumn id="1" xr3:uid="{45E150D7-B0F6-4C46-9D01-4183A70256C1}" name="Customer_ID" dataDxfId="25"/>
    <tableColumn id="2" xr3:uid="{3FE9FE58-298B-4A10-882C-079B62E9BD56}" name="Customer_Name" dataDxfId="24"/>
    <tableColumn id="3" xr3:uid="{AD5E05BB-67AF-4F24-BA2C-4374F3901A0F}" name="City" dataDxfId="23"/>
    <tableColumn id="4" xr3:uid="{66E5E834-C9D1-4597-A406-4794877AC38E}" name="Segment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BE3633-D24A-4482-AB52-07C03BE3CD7F}" name="tbl_products" displayName="tbl_products" ref="A2:C8" totalsRowShown="0" headerRowBorderDxfId="20" tableBorderDxfId="21" totalsRowBorderDxfId="19">
  <autoFilter ref="A2:C8" xr:uid="{DABE3633-D24A-4482-AB52-07C03BE3CD7F}"/>
  <tableColumns count="3">
    <tableColumn id="1" xr3:uid="{BE4C39EB-BA83-44CE-9F8A-90FC093A0756}" name="Product" dataDxfId="18"/>
    <tableColumn id="2" xr3:uid="{09015278-E416-4C1A-A211-DCE24DD23B38}" name="Category" dataDxfId="17"/>
    <tableColumn id="3" xr3:uid="{5C64B613-E4D7-4034-B144-ADFF31033813}" name="Cost_Price ($)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ACA13A8-046B-43A0-9FA1-5CD69BB25A29}" name="tbl_targets" displayName="tbl_targets" ref="A2:B6" totalsRowShown="0" headerRowBorderDxfId="14" tableBorderDxfId="15" totalsRowBorderDxfId="13">
  <autoFilter ref="A2:B6" xr:uid="{4ACA13A8-046B-43A0-9FA1-5CD69BB25A29}"/>
  <tableColumns count="2">
    <tableColumn id="1" xr3:uid="{96608BFB-6220-4E5B-A5E3-E5B9BD74D5CB}" name="Sales_Rep" dataDxfId="12"/>
    <tableColumn id="2" xr3:uid="{54F62DB0-3C6D-40DF-B039-D1BB351CC681}" name="Monthly_Target ($)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workbookViewId="0">
      <selection activeCell="M15" sqref="M15"/>
    </sheetView>
  </sheetViews>
  <sheetFormatPr defaultRowHeight="15"/>
  <cols>
    <col min="1" max="1" width="15.28515625" bestFit="1" customWidth="1"/>
    <col min="2" max="2" width="10.85546875" style="5" bestFit="1" customWidth="1"/>
    <col min="3" max="3" width="14.7109375" bestFit="1" customWidth="1"/>
    <col min="5" max="5" width="20.28515625" bestFit="1" customWidth="1"/>
    <col min="6" max="6" width="11.140625" bestFit="1" customWidth="1"/>
    <col min="8" max="8" width="15" style="3" bestFit="1" customWidth="1"/>
    <col min="9" max="9" width="11.140625" style="8" bestFit="1" customWidth="1"/>
    <col min="10" max="10" width="12.28515625" bestFit="1" customWidth="1"/>
  </cols>
  <sheetData>
    <row r="1" spans="1:10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</row>
    <row r="2" spans="1:10">
      <c r="A2" s="14" t="s">
        <v>1</v>
      </c>
      <c r="B2" s="12" t="s">
        <v>2</v>
      </c>
      <c r="C2" s="13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5" t="s">
        <v>8</v>
      </c>
      <c r="I2" s="16" t="s">
        <v>9</v>
      </c>
      <c r="J2" s="17" t="s">
        <v>10</v>
      </c>
    </row>
    <row r="3" spans="1:10">
      <c r="A3" s="1" t="s">
        <v>11</v>
      </c>
      <c r="B3" s="10">
        <v>1001</v>
      </c>
      <c r="C3" s="4">
        <v>45658</v>
      </c>
      <c r="D3" s="1" t="s">
        <v>12</v>
      </c>
      <c r="E3" s="1" t="s">
        <v>13</v>
      </c>
      <c r="F3" s="1" t="s">
        <v>14</v>
      </c>
      <c r="G3" s="1">
        <v>2</v>
      </c>
      <c r="H3" s="2">
        <v>5000</v>
      </c>
      <c r="I3" s="7">
        <v>0.1</v>
      </c>
      <c r="J3" s="9" t="s">
        <v>15</v>
      </c>
    </row>
    <row r="4" spans="1:10">
      <c r="A4" s="1" t="s">
        <v>16</v>
      </c>
      <c r="B4" s="10">
        <v>1002</v>
      </c>
      <c r="C4" s="4">
        <v>45689</v>
      </c>
      <c r="D4" s="1" t="s">
        <v>17</v>
      </c>
      <c r="E4" s="1" t="s">
        <v>18</v>
      </c>
      <c r="F4" s="1" t="s">
        <v>19</v>
      </c>
      <c r="G4" s="1">
        <v>5</v>
      </c>
      <c r="H4" s="2">
        <v>1200</v>
      </c>
      <c r="I4" s="7">
        <v>0.05</v>
      </c>
      <c r="J4" s="9" t="s">
        <v>20</v>
      </c>
    </row>
    <row r="5" spans="1:10">
      <c r="A5" s="1" t="s">
        <v>21</v>
      </c>
      <c r="B5" s="10">
        <v>1003</v>
      </c>
      <c r="C5" s="4">
        <v>45717</v>
      </c>
      <c r="D5" s="1" t="s">
        <v>22</v>
      </c>
      <c r="E5" s="1" t="s">
        <v>23</v>
      </c>
      <c r="F5" s="1" t="s">
        <v>19</v>
      </c>
      <c r="G5" s="1">
        <v>3</v>
      </c>
      <c r="H5" s="2">
        <v>2500</v>
      </c>
      <c r="I5" s="7">
        <v>0.15</v>
      </c>
      <c r="J5" s="9" t="s">
        <v>24</v>
      </c>
    </row>
    <row r="6" spans="1:10">
      <c r="A6" s="1" t="s">
        <v>25</v>
      </c>
      <c r="B6" s="10">
        <v>1004</v>
      </c>
      <c r="C6" s="4">
        <v>45748</v>
      </c>
      <c r="D6" s="1" t="s">
        <v>26</v>
      </c>
      <c r="E6" s="1" t="s">
        <v>27</v>
      </c>
      <c r="F6" s="1" t="s">
        <v>14</v>
      </c>
      <c r="G6" s="1">
        <v>4</v>
      </c>
      <c r="H6" s="2">
        <v>1500</v>
      </c>
      <c r="I6" s="7">
        <v>0.2</v>
      </c>
      <c r="J6" s="9" t="s">
        <v>28</v>
      </c>
    </row>
    <row r="7" spans="1:10">
      <c r="A7" s="1" t="s">
        <v>29</v>
      </c>
      <c r="B7" s="10">
        <v>1005</v>
      </c>
      <c r="C7" s="4">
        <v>45778</v>
      </c>
      <c r="D7" s="1" t="s">
        <v>12</v>
      </c>
      <c r="E7" s="1" t="s">
        <v>30</v>
      </c>
      <c r="F7" s="1" t="s">
        <v>31</v>
      </c>
      <c r="G7" s="1">
        <v>1</v>
      </c>
      <c r="H7" s="2">
        <v>7000</v>
      </c>
      <c r="I7" s="7">
        <v>0.25</v>
      </c>
      <c r="J7" s="9" t="s">
        <v>15</v>
      </c>
    </row>
    <row r="8" spans="1:10">
      <c r="A8" s="1" t="s">
        <v>11</v>
      </c>
      <c r="B8" s="10">
        <v>1006</v>
      </c>
      <c r="C8" s="4">
        <v>45809</v>
      </c>
      <c r="D8" s="1" t="s">
        <v>17</v>
      </c>
      <c r="E8" s="1" t="s">
        <v>32</v>
      </c>
      <c r="F8" s="1" t="s">
        <v>31</v>
      </c>
      <c r="G8" s="1">
        <v>2</v>
      </c>
      <c r="H8" s="2">
        <v>15000</v>
      </c>
      <c r="I8" s="7">
        <v>0.1</v>
      </c>
      <c r="J8" s="9" t="s">
        <v>20</v>
      </c>
    </row>
    <row r="9" spans="1:10">
      <c r="A9" s="1" t="s">
        <v>33</v>
      </c>
      <c r="B9" s="10">
        <v>1007</v>
      </c>
      <c r="C9" s="4">
        <v>45839</v>
      </c>
      <c r="D9" s="1" t="s">
        <v>22</v>
      </c>
      <c r="E9" s="1" t="s">
        <v>13</v>
      </c>
      <c r="F9" s="1" t="s">
        <v>14</v>
      </c>
      <c r="G9" s="1">
        <v>1</v>
      </c>
      <c r="H9" s="2">
        <v>5000</v>
      </c>
      <c r="I9" s="7">
        <v>0.05</v>
      </c>
      <c r="J9" s="9" t="s">
        <v>24</v>
      </c>
    </row>
    <row r="10" spans="1:10">
      <c r="A10" s="1" t="s">
        <v>34</v>
      </c>
      <c r="B10" s="10">
        <v>1008</v>
      </c>
      <c r="C10" s="4">
        <v>45870</v>
      </c>
      <c r="D10" s="1" t="s">
        <v>26</v>
      </c>
      <c r="E10" s="1" t="s">
        <v>18</v>
      </c>
      <c r="F10" s="1" t="s">
        <v>19</v>
      </c>
      <c r="G10" s="1">
        <v>6</v>
      </c>
      <c r="H10" s="2">
        <v>1200</v>
      </c>
      <c r="I10" s="7">
        <v>0.1</v>
      </c>
      <c r="J10" s="9" t="s">
        <v>28</v>
      </c>
    </row>
    <row r="11" spans="1:10">
      <c r="A11" s="1" t="s">
        <v>35</v>
      </c>
      <c r="B11" s="10">
        <v>1009</v>
      </c>
      <c r="C11" s="4">
        <v>45901</v>
      </c>
      <c r="D11" s="1" t="s">
        <v>12</v>
      </c>
      <c r="E11" s="1" t="s">
        <v>27</v>
      </c>
      <c r="F11" s="1" t="s">
        <v>14</v>
      </c>
      <c r="G11" s="1">
        <v>3</v>
      </c>
      <c r="H11" s="2">
        <v>1500</v>
      </c>
      <c r="I11" s="7">
        <v>0</v>
      </c>
      <c r="J11" s="9" t="s">
        <v>15</v>
      </c>
    </row>
    <row r="12" spans="1:10">
      <c r="A12" s="1" t="s">
        <v>16</v>
      </c>
      <c r="B12" s="10">
        <v>1010</v>
      </c>
      <c r="C12" s="4">
        <v>45931</v>
      </c>
      <c r="D12" s="1" t="s">
        <v>17</v>
      </c>
      <c r="E12" s="1" t="s">
        <v>23</v>
      </c>
      <c r="F12" s="1" t="s">
        <v>19</v>
      </c>
      <c r="G12" s="1">
        <v>2</v>
      </c>
      <c r="H12" s="2">
        <v>2500</v>
      </c>
      <c r="I12" s="7">
        <v>0.3</v>
      </c>
      <c r="J12" s="9" t="s">
        <v>20</v>
      </c>
    </row>
    <row r="13" spans="1:10">
      <c r="A13" s="1" t="s">
        <v>21</v>
      </c>
      <c r="B13" s="10">
        <v>1011</v>
      </c>
      <c r="C13" s="4">
        <v>45962</v>
      </c>
      <c r="D13" s="1" t="s">
        <v>22</v>
      </c>
      <c r="E13" s="1" t="s">
        <v>30</v>
      </c>
      <c r="F13" s="1" t="s">
        <v>31</v>
      </c>
      <c r="G13" s="1">
        <v>1</v>
      </c>
      <c r="H13" s="2">
        <v>7000</v>
      </c>
      <c r="I13" s="7">
        <v>0.1</v>
      </c>
      <c r="J13" s="9" t="s">
        <v>24</v>
      </c>
    </row>
    <row r="14" spans="1:10">
      <c r="A14" s="1" t="s">
        <v>25</v>
      </c>
      <c r="B14" s="10">
        <v>1012</v>
      </c>
      <c r="C14" s="4">
        <v>45992</v>
      </c>
      <c r="D14" s="1" t="s">
        <v>26</v>
      </c>
      <c r="E14" s="1" t="s">
        <v>32</v>
      </c>
      <c r="F14" s="1" t="s">
        <v>31</v>
      </c>
      <c r="G14" s="1">
        <v>1</v>
      </c>
      <c r="H14" s="2">
        <v>15000</v>
      </c>
      <c r="I14" s="7">
        <v>0.15</v>
      </c>
      <c r="J14" s="9" t="s">
        <v>28</v>
      </c>
    </row>
    <row r="15" spans="1:10">
      <c r="A15" s="1" t="s">
        <v>29</v>
      </c>
      <c r="B15" s="10">
        <v>1013</v>
      </c>
      <c r="C15" s="4">
        <v>45670</v>
      </c>
      <c r="D15" s="1" t="s">
        <v>12</v>
      </c>
      <c r="E15" s="1" t="s">
        <v>13</v>
      </c>
      <c r="F15" s="1" t="s">
        <v>14</v>
      </c>
      <c r="G15" s="1">
        <v>2</v>
      </c>
      <c r="H15" s="2">
        <v>5000</v>
      </c>
      <c r="I15" s="7">
        <v>0.2</v>
      </c>
      <c r="J15" s="9" t="s">
        <v>15</v>
      </c>
    </row>
    <row r="16" spans="1:10">
      <c r="A16" s="1" t="s">
        <v>33</v>
      </c>
      <c r="B16" s="10">
        <v>1014</v>
      </c>
      <c r="C16" s="4">
        <v>45671</v>
      </c>
      <c r="D16" s="1" t="s">
        <v>17</v>
      </c>
      <c r="E16" s="1" t="s">
        <v>18</v>
      </c>
      <c r="F16" s="1" t="s">
        <v>19</v>
      </c>
      <c r="G16" s="1">
        <v>4</v>
      </c>
      <c r="H16" s="2">
        <v>1200</v>
      </c>
      <c r="I16" s="7">
        <v>0.05</v>
      </c>
      <c r="J16" s="9" t="s">
        <v>20</v>
      </c>
    </row>
    <row r="17" spans="1:10">
      <c r="A17" s="1" t="s">
        <v>34</v>
      </c>
      <c r="B17" s="10">
        <v>1015</v>
      </c>
      <c r="C17" s="4">
        <v>45672</v>
      </c>
      <c r="D17" s="1" t="s">
        <v>22</v>
      </c>
      <c r="E17" s="1" t="s">
        <v>27</v>
      </c>
      <c r="F17" s="1" t="s">
        <v>14</v>
      </c>
      <c r="G17" s="1">
        <v>5</v>
      </c>
      <c r="H17" s="2">
        <v>1500</v>
      </c>
      <c r="I17" s="7">
        <v>0.1</v>
      </c>
      <c r="J17" s="9" t="s">
        <v>24</v>
      </c>
    </row>
    <row r="18" spans="1:10">
      <c r="A18" s="1" t="s">
        <v>35</v>
      </c>
      <c r="B18" s="10">
        <v>1016</v>
      </c>
      <c r="C18" s="4">
        <v>45673</v>
      </c>
      <c r="D18" s="1" t="s">
        <v>26</v>
      </c>
      <c r="E18" s="1" t="s">
        <v>23</v>
      </c>
      <c r="F18" s="1" t="s">
        <v>19</v>
      </c>
      <c r="G18" s="1">
        <v>2</v>
      </c>
      <c r="H18" s="2">
        <v>2500</v>
      </c>
      <c r="I18" s="7">
        <v>0</v>
      </c>
      <c r="J18" s="9" t="s">
        <v>28</v>
      </c>
    </row>
    <row r="19" spans="1:10">
      <c r="A19" s="1" t="s">
        <v>11</v>
      </c>
      <c r="B19" s="10">
        <v>1017</v>
      </c>
      <c r="C19" s="4">
        <v>45674</v>
      </c>
      <c r="D19" s="1" t="s">
        <v>12</v>
      </c>
      <c r="E19" s="1" t="s">
        <v>30</v>
      </c>
      <c r="F19" s="1" t="s">
        <v>31</v>
      </c>
      <c r="G19" s="1">
        <v>1</v>
      </c>
      <c r="H19" s="2">
        <v>7000</v>
      </c>
      <c r="I19" s="7">
        <v>0.05</v>
      </c>
      <c r="J19" s="9" t="s">
        <v>15</v>
      </c>
    </row>
    <row r="20" spans="1:10">
      <c r="A20" s="1" t="s">
        <v>16</v>
      </c>
      <c r="B20" s="10">
        <v>1018</v>
      </c>
      <c r="C20" s="4">
        <v>45675</v>
      </c>
      <c r="D20" s="1" t="s">
        <v>17</v>
      </c>
      <c r="E20" s="1" t="s">
        <v>32</v>
      </c>
      <c r="F20" s="1" t="s">
        <v>31</v>
      </c>
      <c r="G20" s="1">
        <v>2</v>
      </c>
      <c r="H20" s="2">
        <v>15000</v>
      </c>
      <c r="I20" s="7">
        <v>0.2</v>
      </c>
      <c r="J20" s="9" t="s">
        <v>20</v>
      </c>
    </row>
    <row r="21" spans="1:10">
      <c r="A21" s="1" t="s">
        <v>21</v>
      </c>
      <c r="B21" s="10">
        <v>1019</v>
      </c>
      <c r="C21" s="4">
        <v>45676</v>
      </c>
      <c r="D21" s="1" t="s">
        <v>22</v>
      </c>
      <c r="E21" s="1" t="s">
        <v>13</v>
      </c>
      <c r="F21" s="1" t="s">
        <v>14</v>
      </c>
      <c r="G21" s="1">
        <v>3</v>
      </c>
      <c r="H21" s="2">
        <v>5000</v>
      </c>
      <c r="I21" s="7">
        <v>0.1</v>
      </c>
      <c r="J21" s="9" t="s">
        <v>24</v>
      </c>
    </row>
    <row r="22" spans="1:10">
      <c r="A22" s="21" t="s">
        <v>25</v>
      </c>
      <c r="B22" s="19">
        <v>1020</v>
      </c>
      <c r="C22" s="20">
        <v>45677</v>
      </c>
      <c r="D22" s="21" t="s">
        <v>26</v>
      </c>
      <c r="E22" s="21" t="s">
        <v>18</v>
      </c>
      <c r="F22" s="21" t="s">
        <v>19</v>
      </c>
      <c r="G22" s="21">
        <v>2</v>
      </c>
      <c r="H22" s="22">
        <v>1200</v>
      </c>
      <c r="I22" s="23">
        <v>0.25</v>
      </c>
      <c r="J22" s="24" t="s">
        <v>28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2940F-B683-48FA-BF86-44F1CAE045E8}">
  <dimension ref="A1:D10"/>
  <sheetViews>
    <sheetView workbookViewId="0">
      <selection activeCell="C19" sqref="C19"/>
    </sheetView>
  </sheetViews>
  <sheetFormatPr defaultRowHeight="15"/>
  <cols>
    <col min="1" max="1" width="16" bestFit="1" customWidth="1"/>
    <col min="2" max="2" width="18" bestFit="1" customWidth="1"/>
    <col min="3" max="3" width="11.140625" bestFit="1" customWidth="1"/>
    <col min="4" max="4" width="11" bestFit="1" customWidth="1"/>
  </cols>
  <sheetData>
    <row r="1" spans="1:4">
      <c r="A1" s="49" t="s">
        <v>36</v>
      </c>
      <c r="B1" s="49"/>
      <c r="C1" s="49"/>
      <c r="D1" s="49"/>
    </row>
    <row r="2" spans="1:4">
      <c r="A2" s="12" t="s">
        <v>1</v>
      </c>
      <c r="B2" s="14" t="s">
        <v>37</v>
      </c>
      <c r="C2" s="14" t="s">
        <v>38</v>
      </c>
      <c r="D2" s="17" t="s">
        <v>39</v>
      </c>
    </row>
    <row r="3" spans="1:4">
      <c r="A3" s="10" t="s">
        <v>11</v>
      </c>
      <c r="B3" s="1" t="s">
        <v>40</v>
      </c>
      <c r="C3" s="1" t="s">
        <v>41</v>
      </c>
      <c r="D3" s="9" t="s">
        <v>42</v>
      </c>
    </row>
    <row r="4" spans="1:4">
      <c r="A4" s="10" t="s">
        <v>16</v>
      </c>
      <c r="B4" s="1" t="s">
        <v>43</v>
      </c>
      <c r="C4" s="1" t="s">
        <v>44</v>
      </c>
      <c r="D4" s="9" t="s">
        <v>45</v>
      </c>
    </row>
    <row r="5" spans="1:4">
      <c r="A5" s="10" t="s">
        <v>21</v>
      </c>
      <c r="B5" s="1" t="s">
        <v>46</v>
      </c>
      <c r="C5" s="1" t="s">
        <v>47</v>
      </c>
      <c r="D5" s="9" t="s">
        <v>42</v>
      </c>
    </row>
    <row r="6" spans="1:4">
      <c r="A6" s="10" t="s">
        <v>25</v>
      </c>
      <c r="B6" s="1" t="s">
        <v>48</v>
      </c>
      <c r="C6" s="1" t="s">
        <v>49</v>
      </c>
      <c r="D6" s="9" t="s">
        <v>45</v>
      </c>
    </row>
    <row r="7" spans="1:4">
      <c r="A7" s="10" t="s">
        <v>29</v>
      </c>
      <c r="B7" s="1" t="s">
        <v>50</v>
      </c>
      <c r="C7" s="1" t="s">
        <v>51</v>
      </c>
      <c r="D7" s="9" t="s">
        <v>42</v>
      </c>
    </row>
    <row r="8" spans="1:4">
      <c r="A8" s="10" t="s">
        <v>33</v>
      </c>
      <c r="B8" s="1" t="s">
        <v>52</v>
      </c>
      <c r="C8" s="1" t="s">
        <v>53</v>
      </c>
      <c r="D8" s="9" t="s">
        <v>45</v>
      </c>
    </row>
    <row r="9" spans="1:4">
      <c r="A9" s="10" t="s">
        <v>34</v>
      </c>
      <c r="B9" s="1" t="s">
        <v>54</v>
      </c>
      <c r="C9" s="1" t="s">
        <v>55</v>
      </c>
      <c r="D9" s="9" t="s">
        <v>42</v>
      </c>
    </row>
    <row r="10" spans="1:4">
      <c r="A10" s="19" t="s">
        <v>35</v>
      </c>
      <c r="B10" s="21" t="s">
        <v>56</v>
      </c>
      <c r="C10" s="21" t="s">
        <v>57</v>
      </c>
      <c r="D10" s="24" t="s">
        <v>45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EA9A-5C68-47C1-A44B-A72059405AEC}">
  <dimension ref="A1:C8"/>
  <sheetViews>
    <sheetView workbookViewId="0">
      <selection activeCell="K17" sqref="K17"/>
    </sheetView>
  </sheetViews>
  <sheetFormatPr defaultRowHeight="15"/>
  <cols>
    <col min="1" max="1" width="20.28515625" bestFit="1" customWidth="1"/>
    <col min="2" max="2" width="11.140625" bestFit="1" customWidth="1"/>
    <col min="3" max="3" width="15.5703125" style="3" bestFit="1" customWidth="1"/>
  </cols>
  <sheetData>
    <row r="1" spans="1:3">
      <c r="A1" s="49" t="s">
        <v>58</v>
      </c>
      <c r="B1" s="49"/>
      <c r="C1" s="49"/>
    </row>
    <row r="2" spans="1:3">
      <c r="A2" s="12" t="s">
        <v>5</v>
      </c>
      <c r="B2" s="14" t="s">
        <v>6</v>
      </c>
      <c r="C2" s="18" t="s">
        <v>59</v>
      </c>
    </row>
    <row r="3" spans="1:3">
      <c r="A3" s="10" t="s">
        <v>13</v>
      </c>
      <c r="B3" s="1" t="s">
        <v>14</v>
      </c>
      <c r="C3" s="11">
        <v>3000</v>
      </c>
    </row>
    <row r="4" spans="1:3">
      <c r="A4" s="10" t="s">
        <v>18</v>
      </c>
      <c r="B4" s="1" t="s">
        <v>19</v>
      </c>
      <c r="C4" s="11">
        <v>700</v>
      </c>
    </row>
    <row r="5" spans="1:3">
      <c r="A5" s="10" t="s">
        <v>23</v>
      </c>
      <c r="B5" s="1" t="s">
        <v>19</v>
      </c>
      <c r="C5" s="11">
        <v>1500</v>
      </c>
    </row>
    <row r="6" spans="1:3">
      <c r="A6" s="10" t="s">
        <v>27</v>
      </c>
      <c r="B6" s="1" t="s">
        <v>14</v>
      </c>
      <c r="C6" s="11">
        <v>800</v>
      </c>
    </row>
    <row r="7" spans="1:3">
      <c r="A7" s="10" t="s">
        <v>30</v>
      </c>
      <c r="B7" s="1" t="s">
        <v>31</v>
      </c>
      <c r="C7" s="11">
        <v>4000</v>
      </c>
    </row>
    <row r="8" spans="1:3">
      <c r="A8" s="19" t="s">
        <v>32</v>
      </c>
      <c r="B8" s="21" t="s">
        <v>31</v>
      </c>
      <c r="C8" s="25">
        <v>10000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2ED83-8832-42EC-9CB5-18EC85564B04}">
  <dimension ref="A1:L22"/>
  <sheetViews>
    <sheetView workbookViewId="0">
      <selection activeCell="H16" sqref="H16"/>
    </sheetView>
  </sheetViews>
  <sheetFormatPr defaultRowHeight="15"/>
  <cols>
    <col min="1" max="1" width="12.5703125" bestFit="1" customWidth="1"/>
    <col min="2" max="2" width="19.42578125" style="3" bestFit="1" customWidth="1"/>
    <col min="4" max="5" width="10" customWidth="1"/>
    <col min="7" max="7" width="17.5703125" bestFit="1" customWidth="1"/>
    <col min="8" max="8" width="9.85546875" customWidth="1"/>
  </cols>
  <sheetData>
    <row r="1" spans="1:8">
      <c r="A1" s="49" t="s">
        <v>60</v>
      </c>
      <c r="B1" s="49"/>
      <c r="D1" s="50" t="s">
        <v>61</v>
      </c>
      <c r="E1" s="50"/>
      <c r="G1" s="50" t="s">
        <v>62</v>
      </c>
      <c r="H1" s="50"/>
    </row>
    <row r="2" spans="1:8">
      <c r="A2" s="12" t="s">
        <v>10</v>
      </c>
      <c r="B2" s="18" t="s">
        <v>63</v>
      </c>
      <c r="D2" s="26" t="s">
        <v>4</v>
      </c>
      <c r="E2" s="26" t="s">
        <v>10</v>
      </c>
      <c r="G2" s="26" t="str" cm="1">
        <f t="array" ref="G2:H6">_xlfn.UNIQUE(D2:E22)</f>
        <v>Region</v>
      </c>
      <c r="H2" s="26" t="str">
        <v>Sales_Rep</v>
      </c>
    </row>
    <row r="3" spans="1:8">
      <c r="A3" s="10" t="s">
        <v>15</v>
      </c>
      <c r="B3" s="11">
        <v>50000</v>
      </c>
      <c r="D3" s="39" t="s">
        <v>12</v>
      </c>
      <c r="E3" s="39" t="s">
        <v>15</v>
      </c>
      <c r="G3" s="39" t="str">
        <v>North</v>
      </c>
      <c r="H3" s="39" t="str">
        <v>Raj</v>
      </c>
    </row>
    <row r="4" spans="1:8">
      <c r="A4" s="10" t="s">
        <v>20</v>
      </c>
      <c r="B4" s="11">
        <v>60000</v>
      </c>
      <c r="D4" s="40" t="s">
        <v>17</v>
      </c>
      <c r="E4" s="40" t="s">
        <v>20</v>
      </c>
      <c r="G4" s="40" t="str">
        <v>South</v>
      </c>
      <c r="H4" s="40" t="str">
        <v>Priya</v>
      </c>
    </row>
    <row r="5" spans="1:8">
      <c r="A5" s="10" t="s">
        <v>24</v>
      </c>
      <c r="B5" s="11">
        <v>55000</v>
      </c>
      <c r="D5" s="39" t="s">
        <v>22</v>
      </c>
      <c r="E5" s="39" t="s">
        <v>24</v>
      </c>
      <c r="G5" s="39" t="str">
        <v>East</v>
      </c>
      <c r="H5" s="39" t="str">
        <v>Amit</v>
      </c>
    </row>
    <row r="6" spans="1:8">
      <c r="A6" s="19" t="s">
        <v>28</v>
      </c>
      <c r="B6" s="25">
        <v>52000</v>
      </c>
      <c r="D6" s="40" t="s">
        <v>26</v>
      </c>
      <c r="E6" s="40" t="s">
        <v>28</v>
      </c>
      <c r="G6" s="40" t="str">
        <v>West</v>
      </c>
      <c r="H6" s="40" t="str">
        <v>Sneha</v>
      </c>
    </row>
    <row r="7" spans="1:8">
      <c r="D7" s="39" t="s">
        <v>12</v>
      </c>
      <c r="E7" s="39" t="s">
        <v>15</v>
      </c>
    </row>
    <row r="8" spans="1:8">
      <c r="D8" s="40" t="s">
        <v>17</v>
      </c>
      <c r="E8" s="40" t="s">
        <v>20</v>
      </c>
    </row>
    <row r="9" spans="1:8">
      <c r="D9" s="39" t="s">
        <v>22</v>
      </c>
      <c r="E9" s="39" t="s">
        <v>24</v>
      </c>
    </row>
    <row r="10" spans="1:8">
      <c r="D10" s="40" t="s">
        <v>26</v>
      </c>
      <c r="E10" s="40" t="s">
        <v>28</v>
      </c>
    </row>
    <row r="11" spans="1:8">
      <c r="D11" s="39" t="s">
        <v>12</v>
      </c>
      <c r="E11" s="39" t="s">
        <v>15</v>
      </c>
    </row>
    <row r="12" spans="1:8">
      <c r="D12" s="40" t="s">
        <v>17</v>
      </c>
      <c r="E12" s="40" t="s">
        <v>20</v>
      </c>
    </row>
    <row r="13" spans="1:8">
      <c r="D13" s="39" t="s">
        <v>22</v>
      </c>
      <c r="E13" s="39" t="s">
        <v>24</v>
      </c>
    </row>
    <row r="14" spans="1:8">
      <c r="D14" s="40" t="s">
        <v>26</v>
      </c>
      <c r="E14" s="40" t="s">
        <v>28</v>
      </c>
    </row>
    <row r="15" spans="1:8">
      <c r="D15" s="39" t="s">
        <v>12</v>
      </c>
      <c r="E15" s="39" t="s">
        <v>15</v>
      </c>
    </row>
    <row r="16" spans="1:8">
      <c r="D16" s="40" t="s">
        <v>17</v>
      </c>
      <c r="E16" s="40" t="s">
        <v>20</v>
      </c>
    </row>
    <row r="17" spans="4:12">
      <c r="D17" s="39" t="s">
        <v>22</v>
      </c>
      <c r="E17" s="39" t="s">
        <v>24</v>
      </c>
      <c r="L17" s="6"/>
    </row>
    <row r="18" spans="4:12">
      <c r="D18" s="40" t="s">
        <v>26</v>
      </c>
      <c r="E18" s="40" t="s">
        <v>28</v>
      </c>
    </row>
    <row r="19" spans="4:12">
      <c r="D19" s="39" t="s">
        <v>12</v>
      </c>
      <c r="E19" s="39" t="s">
        <v>15</v>
      </c>
    </row>
    <row r="20" spans="4:12">
      <c r="D20" s="40" t="s">
        <v>17</v>
      </c>
      <c r="E20" s="40" t="s">
        <v>20</v>
      </c>
    </row>
    <row r="21" spans="4:12">
      <c r="D21" s="39" t="s">
        <v>22</v>
      </c>
      <c r="E21" s="39" t="s">
        <v>24</v>
      </c>
    </row>
    <row r="22" spans="4:12">
      <c r="D22" s="40" t="s">
        <v>26</v>
      </c>
      <c r="E22" s="40" t="s">
        <v>28</v>
      </c>
    </row>
  </sheetData>
  <mergeCells count="3">
    <mergeCell ref="A1:B1"/>
    <mergeCell ref="D1:E1"/>
    <mergeCell ref="G1:H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3F78-F7E2-4814-8377-FCEEB35CCFB9}">
  <dimension ref="A1:Z21"/>
  <sheetViews>
    <sheetView workbookViewId="0">
      <pane ySplit="1" topLeftCell="F13" activePane="bottomLeft" state="frozen"/>
      <selection pane="bottomLeft" activeCell="J10" sqref="J10"/>
    </sheetView>
  </sheetViews>
  <sheetFormatPr defaultRowHeight="15"/>
  <cols>
    <col min="1" max="1" width="14.85546875" bestFit="1" customWidth="1"/>
    <col min="2" max="2" width="12.5703125" customWidth="1"/>
    <col min="3" max="3" width="11.5703125" customWidth="1"/>
    <col min="4" max="4" width="12.42578125" customWidth="1"/>
    <col min="8" max="8" width="20.5703125" customWidth="1"/>
    <col min="9" max="9" width="10.85546875" customWidth="1"/>
    <col min="10" max="10" width="6.85546875" customWidth="1"/>
    <col min="12" max="12" width="9.140625" style="8"/>
    <col min="13" max="13" width="9.85546875" customWidth="1"/>
    <col min="14" max="14" width="12.85546875" customWidth="1"/>
    <col min="15" max="15" width="11.28515625" style="3" bestFit="1" customWidth="1"/>
    <col min="16" max="16" width="19" bestFit="1" customWidth="1"/>
    <col min="17" max="17" width="14.85546875" bestFit="1" customWidth="1"/>
    <col min="19" max="19" width="17.140625" customWidth="1"/>
    <col min="20" max="21" width="10.5703125" customWidth="1"/>
    <col min="22" max="22" width="15.5703125" customWidth="1"/>
    <col min="23" max="23" width="20.42578125" customWidth="1"/>
  </cols>
  <sheetData>
    <row r="1" spans="1:26">
      <c r="A1" s="26" t="s">
        <v>64</v>
      </c>
      <c r="B1" s="26" t="s">
        <v>38</v>
      </c>
      <c r="C1" s="26" t="s">
        <v>39</v>
      </c>
      <c r="D1" s="26" t="str" cm="1">
        <f t="array" ref="D1:M21">tbl_sales_raw[#All]</f>
        <v>Customer_ID</v>
      </c>
      <c r="E1" s="26" t="str">
        <v>Order_ID</v>
      </c>
      <c r="F1" s="26" t="str">
        <v>Date</v>
      </c>
      <c r="G1" s="26" t="str">
        <v>Region</v>
      </c>
      <c r="H1" s="26" t="str">
        <v>Product</v>
      </c>
      <c r="I1" s="26" t="str">
        <v>Category</v>
      </c>
      <c r="J1" s="26" t="str">
        <v>Units</v>
      </c>
      <c r="K1" s="26" t="str">
        <v>Unit_Price ($)</v>
      </c>
      <c r="L1" s="28" t="str">
        <v>Discount</v>
      </c>
      <c r="M1" s="26" t="str">
        <v>Sales_Rep</v>
      </c>
      <c r="N1" s="26" t="s">
        <v>65</v>
      </c>
      <c r="O1" s="27" t="s">
        <v>66</v>
      </c>
      <c r="P1" s="26" t="s">
        <v>67</v>
      </c>
      <c r="Q1" s="26" t="s">
        <v>68</v>
      </c>
      <c r="R1" s="26" t="s">
        <v>69</v>
      </c>
      <c r="S1" s="26" t="s">
        <v>70</v>
      </c>
      <c r="T1" s="26" t="s">
        <v>71</v>
      </c>
      <c r="U1" s="26" t="s">
        <v>72</v>
      </c>
      <c r="V1" s="26" t="s">
        <v>73</v>
      </c>
      <c r="W1" s="26" t="s">
        <v>74</v>
      </c>
    </row>
    <row r="2" spans="1:26">
      <c r="A2" s="30" t="str" cm="1">
        <f t="array" ref="A2:A21">_xlfn.XLOOKUP(D2:D21,tbl_customers[Customer_ID],tbl_customers[Customer_Name],"N/A",0,1)</f>
        <v>Arjun Mehta</v>
      </c>
      <c r="B2" s="30" t="str" cm="1">
        <f t="array" ref="B2:B21">_xlfn.XLOOKUP(D2:D21,tbl_customers[Customer_ID],tbl_customers[City],"N/A",0,1)</f>
        <v>Bangalore</v>
      </c>
      <c r="C2" s="30" t="str" cm="1">
        <f t="array" ref="C2:C21">_xlfn.XLOOKUP(D2:D21,tbl_customers[Customer_ID],tbl_customers[Segment],"N/A",0,1)</f>
        <v>Retail</v>
      </c>
      <c r="D2" s="1" t="str">
        <v>C001</v>
      </c>
      <c r="E2" s="1">
        <v>1001</v>
      </c>
      <c r="F2" s="1">
        <v>45658</v>
      </c>
      <c r="G2" s="1" t="str">
        <v>North</v>
      </c>
      <c r="H2" s="1" t="str">
        <v>Quantum Headphones</v>
      </c>
      <c r="I2" s="1" t="str">
        <v>Electronics</v>
      </c>
      <c r="J2" s="1">
        <v>2</v>
      </c>
      <c r="K2" s="2">
        <v>5000</v>
      </c>
      <c r="L2" s="7">
        <v>0.1</v>
      </c>
      <c r="M2" s="1" t="str">
        <v>Raj</v>
      </c>
      <c r="N2" s="29" cm="1">
        <f t="array" ref="N2:N21">_xlfn.XLOOKUP(H2:H21,tbl_products[Product],tbl_products[Cost_Price ($)],"N/A",0,1)</f>
        <v>3000</v>
      </c>
      <c r="O2" s="29" cm="1">
        <f t="array" ref="O2:O21">K2:K21*J2:J21</f>
        <v>10000</v>
      </c>
      <c r="P2" s="29" cm="1">
        <f t="array" ref="P2:P21">O2:O21*L2:L21</f>
        <v>1000</v>
      </c>
      <c r="Q2" s="29" cm="1">
        <f t="array" ref="Q2:Q21">O2:O21-P2:P21</f>
        <v>9000</v>
      </c>
      <c r="R2" s="29" cm="1">
        <f t="array" ref="R2:R21">Q2:Q21-(_xlfn.ANCHORARRAY(N2)*J2:J21)</f>
        <v>3000</v>
      </c>
      <c r="S2" s="32" t="str" cm="1">
        <f t="array" ref="S2:S21">_xlfn.IFS(_xlfn.ANCHORARRAY(R2)&gt;5000,"Excellent",(_xlfn.ANCHORARRAY(R2)&gt;=2000)*(_xlfn.ANCHORARRAY(R2)&lt;=5000),"Good",_xlfn.ANCHORARRAY(R2)&lt;2000,"Poor")</f>
        <v>Good</v>
      </c>
      <c r="T2" s="29" t="b" cm="1">
        <f t="array" ref="T2:T21">IF((_xlfn.ANCHORARRAY(Q2)&gt;10000)*((I2:I21="Electronics")+(I2:I21="Furniture")),TRUE,FALSE)</f>
        <v>0</v>
      </c>
      <c r="U2" s="32" t="b" cm="1">
        <f t="array" ref="U2:U21">IF((_xlfn.ANCHORARRAY(R2)&lt;2000)+(L2:L21&gt;25%),TRUE,FALSE)</f>
        <v>0</v>
      </c>
      <c r="V2" s="33" t="str" cm="1">
        <f t="array" ref="V2:V21">_xlfn.IFS(_xlfn.ANCHORARRAY(T2)=TRUE,"High Value",_xlfn.ANCHORARRAY(U2)=TRUE,"High Risk",(_xlfn.ANCHORARRAY(T2)=FALSE)+(_xlfn.ANCHORARRAY(U2)=FALSE),"Normal")</f>
        <v>Normal</v>
      </c>
      <c r="W2" s="31" t="b" cm="1">
        <f t="array" ref="W2:W21">_xlfn.XLOOKUP(H2:H21,tbl_products[Product],tbl_products[Category],"N/A",0,1)=I2:I21</f>
        <v>1</v>
      </c>
      <c r="Y2" s="3"/>
      <c r="Z2" s="3"/>
    </row>
    <row r="3" spans="1:26">
      <c r="A3" s="1" t="str">
        <v>Neha Sharma</v>
      </c>
      <c r="B3" s="1" t="str">
        <v>Mumbai</v>
      </c>
      <c r="C3" s="1" t="str">
        <v>Corporate</v>
      </c>
      <c r="D3" s="1" t="str">
        <v>C002</v>
      </c>
      <c r="E3" s="1">
        <v>1002</v>
      </c>
      <c r="F3" s="1">
        <v>45689</v>
      </c>
      <c r="G3" s="1" t="str">
        <v>South</v>
      </c>
      <c r="H3" s="1" t="str">
        <v>AI Coffee Mug</v>
      </c>
      <c r="I3" s="1" t="str">
        <v>Home</v>
      </c>
      <c r="J3" s="1">
        <v>5</v>
      </c>
      <c r="K3" s="2">
        <v>1200</v>
      </c>
      <c r="L3" s="7">
        <v>0.05</v>
      </c>
      <c r="M3" s="1" t="str">
        <v>Priya</v>
      </c>
      <c r="N3" s="2">
        <v>700</v>
      </c>
      <c r="O3" s="2">
        <v>6000</v>
      </c>
      <c r="P3" s="2">
        <v>300</v>
      </c>
      <c r="Q3" s="2">
        <v>5700</v>
      </c>
      <c r="R3" s="2">
        <v>2200</v>
      </c>
      <c r="S3" s="2" t="str">
        <v>Good</v>
      </c>
      <c r="T3" s="2" t="b">
        <v>0</v>
      </c>
      <c r="U3" s="2" t="b">
        <v>0</v>
      </c>
      <c r="V3" s="1" t="str">
        <v>Normal</v>
      </c>
      <c r="W3" s="1" t="b">
        <v>1</v>
      </c>
    </row>
    <row r="4" spans="1:26">
      <c r="A4" s="1" t="str">
        <v>Rohit Verma</v>
      </c>
      <c r="B4" s="1" t="str">
        <v>Delhi</v>
      </c>
      <c r="C4" s="1" t="str">
        <v>Retail</v>
      </c>
      <c r="D4" s="1" t="str">
        <v>C003</v>
      </c>
      <c r="E4" s="1">
        <v>1003</v>
      </c>
      <c r="F4" s="1">
        <v>45717</v>
      </c>
      <c r="G4" s="1" t="str">
        <v>East</v>
      </c>
      <c r="H4" s="1" t="str">
        <v>Smart Lamp</v>
      </c>
      <c r="I4" s="1" t="str">
        <v>Home</v>
      </c>
      <c r="J4" s="1">
        <v>3</v>
      </c>
      <c r="K4" s="2">
        <v>2500</v>
      </c>
      <c r="L4" s="7">
        <v>0.15</v>
      </c>
      <c r="M4" s="1" t="str">
        <v>Amit</v>
      </c>
      <c r="N4" s="2">
        <v>1500</v>
      </c>
      <c r="O4" s="2">
        <v>7500</v>
      </c>
      <c r="P4" s="2">
        <v>1125</v>
      </c>
      <c r="Q4" s="2">
        <v>6375</v>
      </c>
      <c r="R4" s="2">
        <v>1875</v>
      </c>
      <c r="S4" s="2" t="str">
        <v>Poor</v>
      </c>
      <c r="T4" s="2" t="b">
        <v>0</v>
      </c>
      <c r="U4" s="2" t="b">
        <v>1</v>
      </c>
      <c r="V4" s="1" t="str">
        <v>High Risk</v>
      </c>
      <c r="W4" s="1" t="b">
        <v>1</v>
      </c>
    </row>
    <row r="5" spans="1:26">
      <c r="A5" s="1" t="str">
        <v>Pooja Iyer</v>
      </c>
      <c r="B5" s="1" t="str">
        <v>Chennai</v>
      </c>
      <c r="C5" s="1" t="str">
        <v>Corporate</v>
      </c>
      <c r="D5" s="1" t="str">
        <v>C004</v>
      </c>
      <c r="E5" s="1">
        <v>1004</v>
      </c>
      <c r="F5" s="1">
        <v>45748</v>
      </c>
      <c r="G5" s="1" t="str">
        <v>West</v>
      </c>
      <c r="H5" s="1" t="str">
        <v>Gaming Mouse</v>
      </c>
      <c r="I5" s="1" t="str">
        <v>Electronics</v>
      </c>
      <c r="J5" s="1">
        <v>4</v>
      </c>
      <c r="K5" s="2">
        <v>1500</v>
      </c>
      <c r="L5" s="7">
        <v>0.2</v>
      </c>
      <c r="M5" s="1" t="str">
        <v>Sneha</v>
      </c>
      <c r="N5" s="2">
        <v>800</v>
      </c>
      <c r="O5" s="2">
        <v>6000</v>
      </c>
      <c r="P5" s="2">
        <v>1200</v>
      </c>
      <c r="Q5" s="2">
        <v>4800</v>
      </c>
      <c r="R5" s="2">
        <v>1600</v>
      </c>
      <c r="S5" s="2" t="str">
        <v>Poor</v>
      </c>
      <c r="T5" s="2" t="b">
        <v>0</v>
      </c>
      <c r="U5" s="2" t="b">
        <v>1</v>
      </c>
      <c r="V5" s="1" t="str">
        <v>High Risk</v>
      </c>
      <c r="W5" s="1" t="b">
        <v>1</v>
      </c>
    </row>
    <row r="6" spans="1:26">
      <c r="A6" s="1" t="str">
        <v>Karan Patel</v>
      </c>
      <c r="B6" s="1" t="str">
        <v>Ahmedabad</v>
      </c>
      <c r="C6" s="1" t="str">
        <v>Retail</v>
      </c>
      <c r="D6" s="1" t="str">
        <v>C005</v>
      </c>
      <c r="E6" s="1">
        <v>1005</v>
      </c>
      <c r="F6" s="1">
        <v>45778</v>
      </c>
      <c r="G6" s="1" t="str">
        <v>North</v>
      </c>
      <c r="H6" s="1" t="str">
        <v>Office Chair</v>
      </c>
      <c r="I6" s="1" t="str">
        <v>Furniture</v>
      </c>
      <c r="J6" s="1">
        <v>1</v>
      </c>
      <c r="K6" s="2">
        <v>7000</v>
      </c>
      <c r="L6" s="7">
        <v>0.25</v>
      </c>
      <c r="M6" s="1" t="str">
        <v>Raj</v>
      </c>
      <c r="N6" s="2">
        <v>4000</v>
      </c>
      <c r="O6" s="2">
        <v>7000</v>
      </c>
      <c r="P6" s="2">
        <v>1750</v>
      </c>
      <c r="Q6" s="2">
        <v>5250</v>
      </c>
      <c r="R6" s="2">
        <v>1250</v>
      </c>
      <c r="S6" s="2" t="str">
        <v>Poor</v>
      </c>
      <c r="T6" s="2" t="b">
        <v>0</v>
      </c>
      <c r="U6" s="2" t="b">
        <v>1</v>
      </c>
      <c r="V6" s="1" t="str">
        <v>High Risk</v>
      </c>
      <c r="W6" s="1" t="b">
        <v>1</v>
      </c>
    </row>
    <row r="7" spans="1:26">
      <c r="A7" s="1" t="str">
        <v>Arjun Mehta</v>
      </c>
      <c r="B7" s="1" t="str">
        <v>Bangalore</v>
      </c>
      <c r="C7" s="1" t="str">
        <v>Retail</v>
      </c>
      <c r="D7" s="1" t="str">
        <v>C001</v>
      </c>
      <c r="E7" s="1">
        <v>1006</v>
      </c>
      <c r="F7" s="1">
        <v>45809</v>
      </c>
      <c r="G7" s="1" t="str">
        <v>South</v>
      </c>
      <c r="H7" s="1" t="str">
        <v>Standing Desk</v>
      </c>
      <c r="I7" s="1" t="str">
        <v>Furniture</v>
      </c>
      <c r="J7" s="1">
        <v>2</v>
      </c>
      <c r="K7" s="2">
        <v>15000</v>
      </c>
      <c r="L7" s="7">
        <v>0.1</v>
      </c>
      <c r="M7" s="1" t="str">
        <v>Priya</v>
      </c>
      <c r="N7" s="2">
        <v>10000</v>
      </c>
      <c r="O7" s="2">
        <v>30000</v>
      </c>
      <c r="P7" s="2">
        <v>3000</v>
      </c>
      <c r="Q7" s="2">
        <v>27000</v>
      </c>
      <c r="R7" s="2">
        <v>7000</v>
      </c>
      <c r="S7" s="2" t="str">
        <v>Excellent</v>
      </c>
      <c r="T7" s="2" t="b">
        <v>1</v>
      </c>
      <c r="U7" s="2" t="b">
        <v>0</v>
      </c>
      <c r="V7" s="1" t="str">
        <v>High Value</v>
      </c>
      <c r="W7" s="1" t="b">
        <v>1</v>
      </c>
    </row>
    <row r="8" spans="1:26">
      <c r="A8" s="1" t="str">
        <v>Simran Kaur</v>
      </c>
      <c r="B8" s="1" t="str">
        <v>Punjab</v>
      </c>
      <c r="C8" s="1" t="str">
        <v>Corporate</v>
      </c>
      <c r="D8" s="1" t="str">
        <v>C006</v>
      </c>
      <c r="E8" s="1">
        <v>1007</v>
      </c>
      <c r="F8" s="1">
        <v>45839</v>
      </c>
      <c r="G8" s="1" t="str">
        <v>East</v>
      </c>
      <c r="H8" s="1" t="str">
        <v>Quantum Headphones</v>
      </c>
      <c r="I8" s="1" t="str">
        <v>Electronics</v>
      </c>
      <c r="J8" s="1">
        <v>1</v>
      </c>
      <c r="K8" s="2">
        <v>5000</v>
      </c>
      <c r="L8" s="7">
        <v>0.05</v>
      </c>
      <c r="M8" s="1" t="str">
        <v>Amit</v>
      </c>
      <c r="N8" s="2">
        <v>3000</v>
      </c>
      <c r="O8" s="2">
        <v>5000</v>
      </c>
      <c r="P8" s="2">
        <v>250</v>
      </c>
      <c r="Q8" s="2">
        <v>4750</v>
      </c>
      <c r="R8" s="2">
        <v>1750</v>
      </c>
      <c r="S8" s="2" t="str">
        <v>Poor</v>
      </c>
      <c r="T8" s="2" t="b">
        <v>0</v>
      </c>
      <c r="U8" s="2" t="b">
        <v>1</v>
      </c>
      <c r="V8" s="1" t="str">
        <v>High Risk</v>
      </c>
      <c r="W8" s="1" t="b">
        <v>1</v>
      </c>
    </row>
    <row r="9" spans="1:26">
      <c r="A9" s="1" t="str">
        <v>Vikram Singh</v>
      </c>
      <c r="B9" s="1" t="str">
        <v>Jaipur</v>
      </c>
      <c r="C9" s="1" t="str">
        <v>Retail</v>
      </c>
      <c r="D9" s="1" t="str">
        <v>C007</v>
      </c>
      <c r="E9" s="1">
        <v>1008</v>
      </c>
      <c r="F9" s="1">
        <v>45870</v>
      </c>
      <c r="G9" s="1" t="str">
        <v>West</v>
      </c>
      <c r="H9" s="1" t="str">
        <v>AI Coffee Mug</v>
      </c>
      <c r="I9" s="1" t="str">
        <v>Home</v>
      </c>
      <c r="J9" s="1">
        <v>6</v>
      </c>
      <c r="K9" s="2">
        <v>1200</v>
      </c>
      <c r="L9" s="7">
        <v>0.1</v>
      </c>
      <c r="M9" s="1" t="str">
        <v>Sneha</v>
      </c>
      <c r="N9" s="2">
        <v>700</v>
      </c>
      <c r="O9" s="2">
        <v>7200</v>
      </c>
      <c r="P9" s="2">
        <v>720</v>
      </c>
      <c r="Q9" s="2">
        <v>6480</v>
      </c>
      <c r="R9" s="2">
        <v>2280</v>
      </c>
      <c r="S9" s="2" t="str">
        <v>Good</v>
      </c>
      <c r="T9" s="2" t="b">
        <v>0</v>
      </c>
      <c r="U9" s="2" t="b">
        <v>0</v>
      </c>
      <c r="V9" s="1" t="str">
        <v>Normal</v>
      </c>
      <c r="W9" s="1" t="b">
        <v>1</v>
      </c>
    </row>
    <row r="10" spans="1:26">
      <c r="A10" s="1" t="str">
        <v>Ananya Das</v>
      </c>
      <c r="B10" s="1" t="str">
        <v>Kolkata</v>
      </c>
      <c r="C10" s="1" t="str">
        <v>Corporate</v>
      </c>
      <c r="D10" s="1" t="str">
        <v>C008</v>
      </c>
      <c r="E10" s="1">
        <v>1009</v>
      </c>
      <c r="F10" s="1">
        <v>45901</v>
      </c>
      <c r="G10" s="1" t="str">
        <v>North</v>
      </c>
      <c r="H10" s="1" t="str">
        <v>Gaming Mouse</v>
      </c>
      <c r="I10" s="1" t="str">
        <v>Electronics</v>
      </c>
      <c r="J10" s="1">
        <v>3</v>
      </c>
      <c r="K10" s="2">
        <v>1500</v>
      </c>
      <c r="L10" s="7">
        <v>0</v>
      </c>
      <c r="M10" s="1" t="str">
        <v>Raj</v>
      </c>
      <c r="N10" s="2">
        <v>800</v>
      </c>
      <c r="O10" s="2">
        <v>4500</v>
      </c>
      <c r="P10" s="2">
        <v>0</v>
      </c>
      <c r="Q10" s="2">
        <v>4500</v>
      </c>
      <c r="R10" s="2">
        <v>2100</v>
      </c>
      <c r="S10" s="2" t="str">
        <v>Good</v>
      </c>
      <c r="T10" s="2" t="b">
        <v>0</v>
      </c>
      <c r="U10" s="2" t="b">
        <v>0</v>
      </c>
      <c r="V10" s="1" t="str">
        <v>Normal</v>
      </c>
      <c r="W10" s="1" t="b">
        <v>1</v>
      </c>
    </row>
    <row r="11" spans="1:26">
      <c r="A11" s="1" t="str">
        <v>Neha Sharma</v>
      </c>
      <c r="B11" s="1" t="str">
        <v>Mumbai</v>
      </c>
      <c r="C11" s="1" t="str">
        <v>Corporate</v>
      </c>
      <c r="D11" s="1" t="str">
        <v>C002</v>
      </c>
      <c r="E11" s="1">
        <v>1010</v>
      </c>
      <c r="F11" s="1">
        <v>45931</v>
      </c>
      <c r="G11" s="1" t="str">
        <v>South</v>
      </c>
      <c r="H11" s="1" t="str">
        <v>Smart Lamp</v>
      </c>
      <c r="I11" s="1" t="str">
        <v>Home</v>
      </c>
      <c r="J11" s="1">
        <v>2</v>
      </c>
      <c r="K11" s="2">
        <v>2500</v>
      </c>
      <c r="L11" s="7">
        <v>0.3</v>
      </c>
      <c r="M11" s="1" t="str">
        <v>Priya</v>
      </c>
      <c r="N11" s="2">
        <v>1500</v>
      </c>
      <c r="O11" s="2">
        <v>5000</v>
      </c>
      <c r="P11" s="2">
        <v>1500</v>
      </c>
      <c r="Q11" s="2">
        <v>3500</v>
      </c>
      <c r="R11" s="2">
        <v>500</v>
      </c>
      <c r="S11" s="2" t="str">
        <v>Poor</v>
      </c>
      <c r="T11" s="2" t="b">
        <v>0</v>
      </c>
      <c r="U11" s="2" t="b">
        <v>1</v>
      </c>
      <c r="V11" s="1" t="str">
        <v>High Risk</v>
      </c>
      <c r="W11" s="1" t="b">
        <v>1</v>
      </c>
    </row>
    <row r="12" spans="1:26">
      <c r="A12" s="1" t="str">
        <v>Rohit Verma</v>
      </c>
      <c r="B12" s="1" t="str">
        <v>Delhi</v>
      </c>
      <c r="C12" s="1" t="str">
        <v>Retail</v>
      </c>
      <c r="D12" s="1" t="str">
        <v>C003</v>
      </c>
      <c r="E12" s="1">
        <v>1011</v>
      </c>
      <c r="F12" s="1">
        <v>45962</v>
      </c>
      <c r="G12" s="1" t="str">
        <v>East</v>
      </c>
      <c r="H12" s="1" t="str">
        <v>Office Chair</v>
      </c>
      <c r="I12" s="1" t="str">
        <v>Furniture</v>
      </c>
      <c r="J12" s="1">
        <v>1</v>
      </c>
      <c r="K12" s="2">
        <v>7000</v>
      </c>
      <c r="L12" s="7">
        <v>0.1</v>
      </c>
      <c r="M12" s="1" t="str">
        <v>Amit</v>
      </c>
      <c r="N12" s="2">
        <v>4000</v>
      </c>
      <c r="O12" s="2">
        <v>7000</v>
      </c>
      <c r="P12" s="2">
        <v>700</v>
      </c>
      <c r="Q12" s="2">
        <v>6300</v>
      </c>
      <c r="R12" s="2">
        <v>2300</v>
      </c>
      <c r="S12" s="2" t="str">
        <v>Good</v>
      </c>
      <c r="T12" s="2" t="b">
        <v>0</v>
      </c>
      <c r="U12" s="2" t="b">
        <v>0</v>
      </c>
      <c r="V12" s="1" t="str">
        <v>Normal</v>
      </c>
      <c r="W12" s="1" t="b">
        <v>1</v>
      </c>
    </row>
    <row r="13" spans="1:26">
      <c r="A13" s="1" t="str">
        <v>Pooja Iyer</v>
      </c>
      <c r="B13" s="1" t="str">
        <v>Chennai</v>
      </c>
      <c r="C13" s="1" t="str">
        <v>Corporate</v>
      </c>
      <c r="D13" s="1" t="str">
        <v>C004</v>
      </c>
      <c r="E13" s="1">
        <v>1012</v>
      </c>
      <c r="F13" s="1">
        <v>45992</v>
      </c>
      <c r="G13" s="1" t="str">
        <v>West</v>
      </c>
      <c r="H13" s="1" t="str">
        <v>Standing Desk</v>
      </c>
      <c r="I13" s="1" t="str">
        <v>Furniture</v>
      </c>
      <c r="J13" s="1">
        <v>1</v>
      </c>
      <c r="K13" s="2">
        <v>15000</v>
      </c>
      <c r="L13" s="7">
        <v>0.15</v>
      </c>
      <c r="M13" s="1" t="str">
        <v>Sneha</v>
      </c>
      <c r="N13" s="2">
        <v>10000</v>
      </c>
      <c r="O13" s="2">
        <v>15000</v>
      </c>
      <c r="P13" s="2">
        <v>2250</v>
      </c>
      <c r="Q13" s="2">
        <v>12750</v>
      </c>
      <c r="R13" s="2">
        <v>2750</v>
      </c>
      <c r="S13" s="2" t="str">
        <v>Good</v>
      </c>
      <c r="T13" s="2" t="b">
        <v>1</v>
      </c>
      <c r="U13" s="2" t="b">
        <v>0</v>
      </c>
      <c r="V13" s="1" t="str">
        <v>High Value</v>
      </c>
      <c r="W13" s="1" t="b">
        <v>1</v>
      </c>
    </row>
    <row r="14" spans="1:26">
      <c r="A14" s="1" t="str">
        <v>Karan Patel</v>
      </c>
      <c r="B14" s="1" t="str">
        <v>Ahmedabad</v>
      </c>
      <c r="C14" s="1" t="str">
        <v>Retail</v>
      </c>
      <c r="D14" s="1" t="str">
        <v>C005</v>
      </c>
      <c r="E14" s="1">
        <v>1013</v>
      </c>
      <c r="F14" s="1">
        <v>45670</v>
      </c>
      <c r="G14" s="1" t="str">
        <v>North</v>
      </c>
      <c r="H14" s="1" t="str">
        <v>Quantum Headphones</v>
      </c>
      <c r="I14" s="1" t="str">
        <v>Electronics</v>
      </c>
      <c r="J14" s="1">
        <v>2</v>
      </c>
      <c r="K14" s="2">
        <v>5000</v>
      </c>
      <c r="L14" s="7">
        <v>0.2</v>
      </c>
      <c r="M14" s="1" t="str">
        <v>Raj</v>
      </c>
      <c r="N14" s="2">
        <v>3000</v>
      </c>
      <c r="O14" s="2">
        <v>10000</v>
      </c>
      <c r="P14" s="2">
        <v>2000</v>
      </c>
      <c r="Q14" s="2">
        <v>8000</v>
      </c>
      <c r="R14" s="2">
        <v>2000</v>
      </c>
      <c r="S14" s="2" t="str">
        <v>Good</v>
      </c>
      <c r="T14" s="2" t="b">
        <v>0</v>
      </c>
      <c r="U14" s="2" t="b">
        <v>0</v>
      </c>
      <c r="V14" s="1" t="str">
        <v>Normal</v>
      </c>
      <c r="W14" s="1" t="b">
        <v>1</v>
      </c>
    </row>
    <row r="15" spans="1:26">
      <c r="A15" s="1" t="str">
        <v>Simran Kaur</v>
      </c>
      <c r="B15" s="1" t="str">
        <v>Punjab</v>
      </c>
      <c r="C15" s="1" t="str">
        <v>Corporate</v>
      </c>
      <c r="D15" s="1" t="str">
        <v>C006</v>
      </c>
      <c r="E15" s="1">
        <v>1014</v>
      </c>
      <c r="F15" s="1">
        <v>45671</v>
      </c>
      <c r="G15" s="1" t="str">
        <v>South</v>
      </c>
      <c r="H15" s="1" t="str">
        <v>AI Coffee Mug</v>
      </c>
      <c r="I15" s="1" t="str">
        <v>Home</v>
      </c>
      <c r="J15" s="1">
        <v>4</v>
      </c>
      <c r="K15" s="2">
        <v>1200</v>
      </c>
      <c r="L15" s="7">
        <v>0.05</v>
      </c>
      <c r="M15" s="1" t="str">
        <v>Priya</v>
      </c>
      <c r="N15" s="2">
        <v>700</v>
      </c>
      <c r="O15" s="2">
        <v>4800</v>
      </c>
      <c r="P15" s="2">
        <v>240</v>
      </c>
      <c r="Q15" s="2">
        <v>4560</v>
      </c>
      <c r="R15" s="2">
        <v>1760</v>
      </c>
      <c r="S15" s="2" t="str">
        <v>Poor</v>
      </c>
      <c r="T15" s="2" t="b">
        <v>0</v>
      </c>
      <c r="U15" s="2" t="b">
        <v>1</v>
      </c>
      <c r="V15" s="1" t="str">
        <v>High Risk</v>
      </c>
      <c r="W15" s="1" t="b">
        <v>1</v>
      </c>
    </row>
    <row r="16" spans="1:26">
      <c r="A16" s="1" t="str">
        <v>Vikram Singh</v>
      </c>
      <c r="B16" s="1" t="str">
        <v>Jaipur</v>
      </c>
      <c r="C16" s="1" t="str">
        <v>Retail</v>
      </c>
      <c r="D16" s="1" t="str">
        <v>C007</v>
      </c>
      <c r="E16" s="1">
        <v>1015</v>
      </c>
      <c r="F16" s="1">
        <v>45672</v>
      </c>
      <c r="G16" s="1" t="str">
        <v>East</v>
      </c>
      <c r="H16" s="1" t="str">
        <v>Gaming Mouse</v>
      </c>
      <c r="I16" s="1" t="str">
        <v>Electronics</v>
      </c>
      <c r="J16" s="1">
        <v>5</v>
      </c>
      <c r="K16" s="2">
        <v>1500</v>
      </c>
      <c r="L16" s="7">
        <v>0.1</v>
      </c>
      <c r="M16" s="1" t="str">
        <v>Amit</v>
      </c>
      <c r="N16" s="2">
        <v>800</v>
      </c>
      <c r="O16" s="2">
        <v>7500</v>
      </c>
      <c r="P16" s="2">
        <v>750</v>
      </c>
      <c r="Q16" s="2">
        <v>6750</v>
      </c>
      <c r="R16" s="2">
        <v>2750</v>
      </c>
      <c r="S16" s="2" t="str">
        <v>Good</v>
      </c>
      <c r="T16" s="2" t="b">
        <v>0</v>
      </c>
      <c r="U16" s="2" t="b">
        <v>0</v>
      </c>
      <c r="V16" s="1" t="str">
        <v>Normal</v>
      </c>
      <c r="W16" s="1" t="b">
        <v>1</v>
      </c>
    </row>
    <row r="17" spans="1:23">
      <c r="A17" s="1" t="str">
        <v>Ananya Das</v>
      </c>
      <c r="B17" s="1" t="str">
        <v>Kolkata</v>
      </c>
      <c r="C17" s="1" t="str">
        <v>Corporate</v>
      </c>
      <c r="D17" s="1" t="str">
        <v>C008</v>
      </c>
      <c r="E17" s="1">
        <v>1016</v>
      </c>
      <c r="F17" s="1">
        <v>45673</v>
      </c>
      <c r="G17" s="1" t="str">
        <v>West</v>
      </c>
      <c r="H17" s="1" t="str">
        <v>Smart Lamp</v>
      </c>
      <c r="I17" s="1" t="str">
        <v>Home</v>
      </c>
      <c r="J17" s="1">
        <v>2</v>
      </c>
      <c r="K17" s="2">
        <v>2500</v>
      </c>
      <c r="L17" s="7">
        <v>0</v>
      </c>
      <c r="M17" s="1" t="str">
        <v>Sneha</v>
      </c>
      <c r="N17" s="2">
        <v>1500</v>
      </c>
      <c r="O17" s="2">
        <v>5000</v>
      </c>
      <c r="P17" s="2">
        <v>0</v>
      </c>
      <c r="Q17" s="2">
        <v>5000</v>
      </c>
      <c r="R17" s="2">
        <v>2000</v>
      </c>
      <c r="S17" s="2" t="str">
        <v>Good</v>
      </c>
      <c r="T17" s="2" t="b">
        <v>0</v>
      </c>
      <c r="U17" s="2" t="b">
        <v>0</v>
      </c>
      <c r="V17" s="1" t="str">
        <v>Normal</v>
      </c>
      <c r="W17" s="1" t="b">
        <v>1</v>
      </c>
    </row>
    <row r="18" spans="1:23">
      <c r="A18" s="1" t="str">
        <v>Arjun Mehta</v>
      </c>
      <c r="B18" s="1" t="str">
        <v>Bangalore</v>
      </c>
      <c r="C18" s="1" t="str">
        <v>Retail</v>
      </c>
      <c r="D18" s="1" t="str">
        <v>C001</v>
      </c>
      <c r="E18" s="1">
        <v>1017</v>
      </c>
      <c r="F18" s="1">
        <v>45674</v>
      </c>
      <c r="G18" s="1" t="str">
        <v>North</v>
      </c>
      <c r="H18" s="1" t="str">
        <v>Office Chair</v>
      </c>
      <c r="I18" s="1" t="str">
        <v>Furniture</v>
      </c>
      <c r="J18" s="1">
        <v>1</v>
      </c>
      <c r="K18" s="2">
        <v>7000</v>
      </c>
      <c r="L18" s="7">
        <v>0.05</v>
      </c>
      <c r="M18" s="1" t="str">
        <v>Raj</v>
      </c>
      <c r="N18" s="2">
        <v>4000</v>
      </c>
      <c r="O18" s="2">
        <v>7000</v>
      </c>
      <c r="P18" s="2">
        <v>350</v>
      </c>
      <c r="Q18" s="2">
        <v>6650</v>
      </c>
      <c r="R18" s="2">
        <v>2650</v>
      </c>
      <c r="S18" s="2" t="str">
        <v>Good</v>
      </c>
      <c r="T18" s="2" t="b">
        <v>0</v>
      </c>
      <c r="U18" s="2" t="b">
        <v>0</v>
      </c>
      <c r="V18" s="1" t="str">
        <v>Normal</v>
      </c>
      <c r="W18" s="1" t="b">
        <v>1</v>
      </c>
    </row>
    <row r="19" spans="1:23">
      <c r="A19" s="1" t="str">
        <v>Neha Sharma</v>
      </c>
      <c r="B19" s="1" t="str">
        <v>Mumbai</v>
      </c>
      <c r="C19" s="1" t="str">
        <v>Corporate</v>
      </c>
      <c r="D19" s="1" t="str">
        <v>C002</v>
      </c>
      <c r="E19" s="1">
        <v>1018</v>
      </c>
      <c r="F19" s="1">
        <v>45675</v>
      </c>
      <c r="G19" s="1" t="str">
        <v>South</v>
      </c>
      <c r="H19" s="1" t="str">
        <v>Standing Desk</v>
      </c>
      <c r="I19" s="1" t="str">
        <v>Furniture</v>
      </c>
      <c r="J19" s="1">
        <v>2</v>
      </c>
      <c r="K19" s="2">
        <v>15000</v>
      </c>
      <c r="L19" s="7">
        <v>0.2</v>
      </c>
      <c r="M19" s="1" t="str">
        <v>Priya</v>
      </c>
      <c r="N19" s="2">
        <v>10000</v>
      </c>
      <c r="O19" s="2">
        <v>30000</v>
      </c>
      <c r="P19" s="2">
        <v>6000</v>
      </c>
      <c r="Q19" s="2">
        <v>24000</v>
      </c>
      <c r="R19" s="2">
        <v>4000</v>
      </c>
      <c r="S19" s="2" t="str">
        <v>Good</v>
      </c>
      <c r="T19" s="2" t="b">
        <v>1</v>
      </c>
      <c r="U19" s="2" t="b">
        <v>0</v>
      </c>
      <c r="V19" s="1" t="str">
        <v>High Value</v>
      </c>
      <c r="W19" s="1" t="b">
        <v>1</v>
      </c>
    </row>
    <row r="20" spans="1:23">
      <c r="A20" s="1" t="str">
        <v>Rohit Verma</v>
      </c>
      <c r="B20" s="1" t="str">
        <v>Delhi</v>
      </c>
      <c r="C20" s="1" t="str">
        <v>Retail</v>
      </c>
      <c r="D20" s="1" t="str">
        <v>C003</v>
      </c>
      <c r="E20" s="1">
        <v>1019</v>
      </c>
      <c r="F20" s="1">
        <v>45676</v>
      </c>
      <c r="G20" s="1" t="str">
        <v>East</v>
      </c>
      <c r="H20" s="1" t="str">
        <v>Quantum Headphones</v>
      </c>
      <c r="I20" s="1" t="str">
        <v>Electronics</v>
      </c>
      <c r="J20" s="1">
        <v>3</v>
      </c>
      <c r="K20" s="2">
        <v>5000</v>
      </c>
      <c r="L20" s="7">
        <v>0.1</v>
      </c>
      <c r="M20" s="1" t="str">
        <v>Amit</v>
      </c>
      <c r="N20" s="2">
        <v>3000</v>
      </c>
      <c r="O20" s="2">
        <v>15000</v>
      </c>
      <c r="P20" s="2">
        <v>1500</v>
      </c>
      <c r="Q20" s="2">
        <v>13500</v>
      </c>
      <c r="R20" s="2">
        <v>4500</v>
      </c>
      <c r="S20" s="2" t="str">
        <v>Good</v>
      </c>
      <c r="T20" s="2" t="b">
        <v>1</v>
      </c>
      <c r="U20" s="2" t="b">
        <v>0</v>
      </c>
      <c r="V20" s="1" t="str">
        <v>High Value</v>
      </c>
      <c r="W20" s="1" t="b">
        <v>1</v>
      </c>
    </row>
    <row r="21" spans="1:23">
      <c r="A21" s="1" t="str">
        <v>Pooja Iyer</v>
      </c>
      <c r="B21" s="1" t="str">
        <v>Chennai</v>
      </c>
      <c r="C21" s="1" t="str">
        <v>Corporate</v>
      </c>
      <c r="D21" s="1" t="str">
        <v>C004</v>
      </c>
      <c r="E21" s="1">
        <v>1020</v>
      </c>
      <c r="F21" s="1">
        <v>45677</v>
      </c>
      <c r="G21" s="1" t="str">
        <v>West</v>
      </c>
      <c r="H21" s="1" t="str">
        <v>AI Coffee Mug</v>
      </c>
      <c r="I21" s="1" t="str">
        <v>Home</v>
      </c>
      <c r="J21" s="1">
        <v>2</v>
      </c>
      <c r="K21" s="2">
        <v>1200</v>
      </c>
      <c r="L21" s="7">
        <v>0.25</v>
      </c>
      <c r="M21" s="1" t="str">
        <v>Sneha</v>
      </c>
      <c r="N21" s="2">
        <v>700</v>
      </c>
      <c r="O21" s="2">
        <v>2400</v>
      </c>
      <c r="P21" s="2">
        <v>600</v>
      </c>
      <c r="Q21" s="2">
        <v>1800</v>
      </c>
      <c r="R21" s="2">
        <v>400</v>
      </c>
      <c r="S21" s="2" t="str">
        <v>Poor</v>
      </c>
      <c r="T21" s="2" t="b">
        <v>0</v>
      </c>
      <c r="U21" s="2" t="b">
        <v>1</v>
      </c>
      <c r="V21" s="1" t="str">
        <v>High Risk</v>
      </c>
      <c r="W21" s="1" t="b">
        <v>1</v>
      </c>
    </row>
  </sheetData>
  <conditionalFormatting sqref="U2:U21">
    <cfRule type="cellIs" dxfId="10" priority="13" operator="equal">
      <formula>$U$4</formula>
    </cfRule>
  </conditionalFormatting>
  <conditionalFormatting sqref="U2:U21">
    <cfRule type="cellIs" dxfId="9" priority="12" operator="equal">
      <formula>$U$2</formula>
    </cfRule>
  </conditionalFormatting>
  <conditionalFormatting sqref="T2:T21">
    <cfRule type="cellIs" dxfId="8" priority="11" operator="equal">
      <formula>$T$2</formula>
    </cfRule>
  </conditionalFormatting>
  <conditionalFormatting sqref="T2:T21">
    <cfRule type="cellIs" dxfId="7" priority="10" operator="equal">
      <formula>$T$7</formula>
    </cfRule>
  </conditionalFormatting>
  <conditionalFormatting sqref="V2:V21">
    <cfRule type="cellIs" dxfId="6" priority="7" operator="equal">
      <formula>$V$2</formula>
    </cfRule>
  </conditionalFormatting>
  <conditionalFormatting sqref="V2:V21">
    <cfRule type="cellIs" dxfId="5" priority="6" operator="equal">
      <formula>$V$4</formula>
    </cfRule>
  </conditionalFormatting>
  <conditionalFormatting sqref="V2">
    <cfRule type="cellIs" dxfId="4" priority="5" operator="equal">
      <formula>$V$7</formula>
    </cfRule>
  </conditionalFormatting>
  <conditionalFormatting sqref="V2:V21">
    <cfRule type="cellIs" dxfId="3" priority="4" operator="equal">
      <formula>$V$7</formula>
    </cfRule>
  </conditionalFormatting>
  <conditionalFormatting sqref="S2:S21">
    <cfRule type="cellIs" dxfId="2" priority="3" operator="equal">
      <formula>$S$6</formula>
    </cfRule>
  </conditionalFormatting>
  <conditionalFormatting sqref="S2:S21">
    <cfRule type="cellIs" dxfId="1" priority="2" operator="equal">
      <formula>$S$3</formula>
    </cfRule>
  </conditionalFormatting>
  <conditionalFormatting sqref="S2:S21">
    <cfRule type="cellIs" dxfId="0" priority="1" operator="equal">
      <formula>$S$7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8AF3-6CB9-4962-8742-4408C72C925A}">
  <dimension ref="B3:S36"/>
  <sheetViews>
    <sheetView workbookViewId="0">
      <selection activeCell="I29" sqref="I29"/>
    </sheetView>
  </sheetViews>
  <sheetFormatPr defaultRowHeight="15"/>
  <cols>
    <col min="2" max="2" width="35.7109375" bestFit="1" customWidth="1"/>
    <col min="3" max="3" width="14" customWidth="1"/>
    <col min="6" max="6" width="16.85546875" customWidth="1"/>
    <col min="7" max="7" width="36.5703125" bestFit="1" customWidth="1"/>
    <col min="8" max="8" width="11.85546875" bestFit="1" customWidth="1"/>
    <col min="9" max="9" width="16.140625" customWidth="1"/>
    <col min="10" max="10" width="14.42578125" bestFit="1" customWidth="1"/>
    <col min="13" max="13" width="13.5703125" customWidth="1"/>
    <col min="14" max="20" width="20.140625" customWidth="1"/>
  </cols>
  <sheetData>
    <row r="3" spans="2:19">
      <c r="B3" s="34" t="s">
        <v>75</v>
      </c>
      <c r="C3" s="29">
        <f>SUM(_xlfn.ANCHORARRAY(Model!O2))</f>
        <v>191900</v>
      </c>
      <c r="F3" s="56" t="s">
        <v>76</v>
      </c>
      <c r="G3" s="59"/>
      <c r="I3" s="53" t="str">
        <f>"Total Net Sales "&amp;J4 &amp;" or " &amp;K4</f>
        <v>Total Net Sales North or South</v>
      </c>
      <c r="J3" s="54"/>
      <c r="K3" s="54"/>
      <c r="M3" s="56" t="s">
        <v>77</v>
      </c>
      <c r="N3" s="57"/>
      <c r="O3" s="57"/>
      <c r="P3" s="59"/>
    </row>
    <row r="4" spans="2:19">
      <c r="B4" s="34" t="s">
        <v>78</v>
      </c>
      <c r="C4" s="29">
        <f>SUM(_xlfn.ANCHORARRAY(Model!Q2))</f>
        <v>166665</v>
      </c>
      <c r="F4" s="34" t="s">
        <v>4</v>
      </c>
      <c r="G4" s="2" t="s">
        <v>12</v>
      </c>
      <c r="I4" s="34" t="s">
        <v>79</v>
      </c>
      <c r="J4" s="22" t="s">
        <v>12</v>
      </c>
      <c r="K4" s="22" t="s">
        <v>17</v>
      </c>
      <c r="M4" s="34" t="s">
        <v>80</v>
      </c>
      <c r="N4" s="34" t="s">
        <v>81</v>
      </c>
      <c r="O4" s="34" t="s">
        <v>82</v>
      </c>
      <c r="P4" s="34" t="s">
        <v>83</v>
      </c>
    </row>
    <row r="5" spans="2:19">
      <c r="B5" s="34" t="s">
        <v>84</v>
      </c>
      <c r="C5" s="29">
        <f>SUM(_xlfn.ANCHORARRAY(Model!R2))</f>
        <v>48665</v>
      </c>
      <c r="F5" s="34" t="s">
        <v>85</v>
      </c>
      <c r="G5" s="2" t="s">
        <v>14</v>
      </c>
      <c r="I5" s="38" t="s">
        <v>86</v>
      </c>
      <c r="J5" s="51" cm="1">
        <f t="array" ref="J5">SUM(IF((Model!G2:G21=Analysis!J4:K4),_xlfn.ANCHORARRAY(Model!Q2),))</f>
        <v>98160</v>
      </c>
      <c r="K5" s="52"/>
      <c r="M5" s="34" t="str" cm="1">
        <f t="array" ref="M5:N8">_xlfn._xlws.SORT(tbl_targets[],1,1,FALSE)</f>
        <v>Amit</v>
      </c>
      <c r="N5" s="29">
        <v>55000</v>
      </c>
      <c r="O5" s="29" cm="1">
        <f t="array" ref="O5:O8">SUMIFS(_xlfn.ANCHORARRAY(Model!Q2),Model!M2:M21,Analysis!M5:M8)</f>
        <v>37675</v>
      </c>
      <c r="P5" s="30" t="str" cm="1">
        <f t="array" ref="P5:P8">IF(_xlfn.ANCHORARRAY(O5)&gt;=N5:N8,"Achieved","Not Met")</f>
        <v>Not Met</v>
      </c>
    </row>
    <row r="6" spans="2:19">
      <c r="B6" s="34" t="s">
        <v>87</v>
      </c>
      <c r="C6" s="30">
        <f>SUM(Model!J2:J21)</f>
        <v>52</v>
      </c>
      <c r="F6" s="34" t="s">
        <v>88</v>
      </c>
      <c r="G6" s="29">
        <f>SUMIFS(_xlfn.ANCHORARRAY(Model!Q2),Model!G2:G21,Analysis!G4,Model!I2:I21,Analysis!G5)</f>
        <v>21500</v>
      </c>
      <c r="M6" s="34" t="str">
        <v>Priya</v>
      </c>
      <c r="N6" s="2">
        <v>60000</v>
      </c>
      <c r="O6" s="2">
        <v>64760</v>
      </c>
      <c r="P6" s="1" t="str">
        <v>Achieved</v>
      </c>
    </row>
    <row r="7" spans="2:19">
      <c r="B7" s="34" t="s">
        <v>89</v>
      </c>
      <c r="C7" s="37">
        <f>AVERAGE(Model!L2:L21)</f>
        <v>0.12500000000000003</v>
      </c>
      <c r="I7" s="53" t="str">
        <f>"Total Orders by "&amp;J8 &amp;" or "&amp;K8</f>
        <v>Total Orders by Raj or Amit</v>
      </c>
      <c r="J7" s="54"/>
      <c r="K7" s="54"/>
      <c r="M7" s="34" t="str">
        <v>Raj</v>
      </c>
      <c r="N7" s="2">
        <v>50000</v>
      </c>
      <c r="O7" s="2">
        <v>33400</v>
      </c>
      <c r="P7" s="1" t="str">
        <v>Not Met</v>
      </c>
    </row>
    <row r="8" spans="2:19">
      <c r="F8" s="56" t="s">
        <v>90</v>
      </c>
      <c r="G8" s="59"/>
      <c r="I8" s="34" t="s">
        <v>80</v>
      </c>
      <c r="J8" s="22" t="s">
        <v>15</v>
      </c>
      <c r="K8" s="22" t="s">
        <v>24</v>
      </c>
      <c r="M8" s="34" t="str">
        <v>Sneha</v>
      </c>
      <c r="N8" s="2">
        <v>52000</v>
      </c>
      <c r="O8" s="2">
        <v>30830</v>
      </c>
      <c r="P8" s="1" t="str">
        <v>Not Met</v>
      </c>
    </row>
    <row r="9" spans="2:19">
      <c r="F9" s="34" t="s">
        <v>39</v>
      </c>
      <c r="G9" s="2" t="s">
        <v>45</v>
      </c>
      <c r="I9" s="38" t="s">
        <v>91</v>
      </c>
      <c r="J9" s="51" cm="1">
        <f t="array" ref="J9">SUM(IF(Model!M2:M21=Analysis!J8:K8,Model!J2:J21,))</f>
        <v>22</v>
      </c>
      <c r="K9" s="52"/>
    </row>
    <row r="10" spans="2:19">
      <c r="B10" s="56" t="s">
        <v>92</v>
      </c>
      <c r="C10" s="59"/>
      <c r="F10" s="34" t="s">
        <v>9</v>
      </c>
      <c r="G10" s="2" t="s">
        <v>93</v>
      </c>
      <c r="M10" s="58" t="s">
        <v>94</v>
      </c>
      <c r="N10" s="58"/>
      <c r="O10" s="58"/>
      <c r="P10" s="58"/>
      <c r="Q10" s="58"/>
      <c r="R10" s="58"/>
      <c r="S10" s="58"/>
    </row>
    <row r="11" spans="2:19">
      <c r="B11" s="34" t="s">
        <v>95</v>
      </c>
      <c r="C11" s="30" t="str">
        <f>INDEX(B19:B22,MATCH(MAX(_xlfn.ANCHORARRAY(D19)),_xlfn.ANCHORARRAY(D19),0))</f>
        <v>South</v>
      </c>
      <c r="F11" s="34" t="s">
        <v>96</v>
      </c>
      <c r="G11" s="29">
        <f>COUNTIFS(_xlfn.ANCHORARRAY(Model!C2),Analysis!G9,Model!L2:L21,Analysis!G10)</f>
        <v>5</v>
      </c>
      <c r="I11" s="61" t="str">
        <f>"Region:"&amp;J12 &amp;" &amp; Category:" &amp;J13 &amp;" | discount: "&amp;J14</f>
        <v>Region:East &amp; Category:Electronics | discount: &gt;20%</v>
      </c>
      <c r="J11" s="62"/>
      <c r="K11" s="63"/>
      <c r="L11" s="35"/>
      <c r="M11" s="34" t="s">
        <v>79</v>
      </c>
      <c r="N11" s="30" t="str" cm="1">
        <f t="array" ref="N11:Q11">TRANSPOSE(_xlfn.UNIQUE(_xlfn._xlws.SORT(Model!G2:G21,,1,FALSE),FALSE,FALSE))</f>
        <v>East</v>
      </c>
      <c r="O11" s="41" t="str">
        <v>North</v>
      </c>
      <c r="P11" s="1" t="str">
        <v>South</v>
      </c>
      <c r="Q11" s="1" t="str">
        <v>West</v>
      </c>
      <c r="R11" s="1"/>
      <c r="S11" s="1"/>
    </row>
    <row r="12" spans="2:19">
      <c r="B12" s="34" t="s">
        <v>97</v>
      </c>
      <c r="C12" s="30" t="str">
        <f>INDEX(_xlfn.ANCHORARRAY(B26),MATCH(MAX(_xlfn.ANCHORARRAY(C26)),_xlfn.ANCHORARRAY(C26),0))</f>
        <v>Standing Desk</v>
      </c>
      <c r="I12" s="34" t="s">
        <v>4</v>
      </c>
      <c r="J12" s="64" t="s">
        <v>22</v>
      </c>
      <c r="K12" s="65"/>
      <c r="M12" s="34" t="s">
        <v>98</v>
      </c>
      <c r="N12" s="30" t="str" cm="1">
        <f t="array" ref="N12:Q12">TRANSPOSE(_xlfn.UNIQUE(_xlfn._xlws.SORT(Model!M2:M21,,1,FALSE),FALSE,FALSE))</f>
        <v>Amit</v>
      </c>
      <c r="O12" s="1" t="str">
        <v>Priya</v>
      </c>
      <c r="P12" s="1" t="str">
        <v>Raj</v>
      </c>
      <c r="Q12" s="1" t="str">
        <v>Sneha</v>
      </c>
      <c r="R12" s="1"/>
      <c r="S12" s="1"/>
    </row>
    <row r="13" spans="2:19">
      <c r="B13" s="34" t="s">
        <v>99</v>
      </c>
      <c r="C13" s="30" t="str">
        <f>INDEX(M5:M8,MATCH(MAX(N5:N8),N5:N8,0))</f>
        <v>Priya</v>
      </c>
      <c r="F13" s="56" t="s">
        <v>100</v>
      </c>
      <c r="G13" s="59"/>
      <c r="I13" s="34" t="s">
        <v>6</v>
      </c>
      <c r="J13" s="64" t="s">
        <v>14</v>
      </c>
      <c r="K13" s="65"/>
      <c r="M13" s="34" t="s">
        <v>101</v>
      </c>
      <c r="N13" s="30" t="str" cm="1">
        <f t="array" ref="N13:S13">TRANSPOSE(_xlfn.UNIQUE(_xlfn._xlws.SORT(Model!H2:H21),FALSE,FALSE))</f>
        <v>AI Coffee Mug</v>
      </c>
      <c r="O13" s="41" t="str">
        <v>Gaming Mouse</v>
      </c>
      <c r="P13" s="41" t="str">
        <v>Office Chair</v>
      </c>
      <c r="Q13" s="41" t="str">
        <v>Quantum Headphones</v>
      </c>
      <c r="R13" s="41" t="str">
        <v>Smart Lamp</v>
      </c>
      <c r="S13" s="41" t="str">
        <v>Standing Desk</v>
      </c>
    </row>
    <row r="14" spans="2:19">
      <c r="B14" s="34" t="s">
        <v>102</v>
      </c>
      <c r="C14" s="30" t="str">
        <f>INDEX(M6:M9,MATCH(MIN(N6:N9),N6:N9,0))</f>
        <v>Raj</v>
      </c>
      <c r="F14" s="34" t="s">
        <v>4</v>
      </c>
      <c r="G14" s="2" t="s">
        <v>17</v>
      </c>
      <c r="I14" s="34" t="s">
        <v>103</v>
      </c>
      <c r="J14" s="64" t="s">
        <v>104</v>
      </c>
      <c r="K14" s="65"/>
    </row>
    <row r="15" spans="2:19">
      <c r="B15" s="34" t="s">
        <v>105</v>
      </c>
      <c r="C15" s="30" t="s">
        <v>106</v>
      </c>
      <c r="F15" s="34" t="s">
        <v>107</v>
      </c>
      <c r="G15" s="29">
        <f>AVERAGEIFS(_xlfn.ANCHORARRAY(Model!R2),Model!G2:G21,Analysis!G14)</f>
        <v>3092</v>
      </c>
      <c r="I15" s="34" t="s">
        <v>108</v>
      </c>
      <c r="J15" s="66">
        <f>SUMIFS(_xlfn.ANCHORARRAY(Model!R2),Model!G2:G21,Analysis!J12,Model!I2:I21,Analysis!J13) + SUMIFS(_xlfn.ANCHORARRAY(Model!R2),Model!L2:L21,Analysis!J14) - SUMIFS(_xlfn.ANCHORARRAY(Model!R2),Model!G2:G21,Analysis!J12,Model!I2:I21,Analysis!J13,Model!L2:L21,Analysis!J14)</f>
        <v>11150</v>
      </c>
      <c r="K15" s="67"/>
      <c r="M15" s="60" t="s">
        <v>109</v>
      </c>
      <c r="N15" s="60"/>
    </row>
    <row r="16" spans="2:19">
      <c r="M16" s="36" cm="1">
        <f t="array" ref="M16:M35">_xlfn.SEQUENCE(35-15,,1,1)</f>
        <v>1</v>
      </c>
      <c r="N16" s="29" cm="1">
        <f t="array" ref="N16:N35">_xlfn._xlws.SORT(_xlfn.ANCHORARRAY(Model!R2),,-1,FALSE)</f>
        <v>7000</v>
      </c>
    </row>
    <row r="17" spans="2:16">
      <c r="B17" s="53" t="s">
        <v>110</v>
      </c>
      <c r="C17" s="55"/>
      <c r="D17" s="55"/>
      <c r="F17" s="75" t="str">
        <f>"Total Profit by Sales Rep "&amp;G18</f>
        <v>Total Profit by Sales Rep Raj</v>
      </c>
      <c r="G17" s="59"/>
      <c r="I17" s="56" t="s">
        <v>111</v>
      </c>
      <c r="J17" s="57"/>
      <c r="K17" s="57"/>
      <c r="M17" s="1">
        <v>2</v>
      </c>
      <c r="N17" s="2">
        <v>4500</v>
      </c>
    </row>
    <row r="18" spans="2:16">
      <c r="B18" s="38" t="s">
        <v>4</v>
      </c>
      <c r="C18" s="72" t="s">
        <v>68</v>
      </c>
      <c r="D18" s="74" t="s">
        <v>69</v>
      </c>
      <c r="E18" s="70"/>
      <c r="F18" s="74" t="s">
        <v>80</v>
      </c>
      <c r="G18" s="73" t="s">
        <v>15</v>
      </c>
      <c r="I18" s="34" t="s">
        <v>39</v>
      </c>
      <c r="J18" s="34" t="s">
        <v>68</v>
      </c>
      <c r="K18" s="34" t="s">
        <v>69</v>
      </c>
      <c r="M18" s="1">
        <v>3</v>
      </c>
      <c r="N18" s="2">
        <v>4000</v>
      </c>
    </row>
    <row r="19" spans="2:16">
      <c r="B19" s="38" t="s">
        <v>12</v>
      </c>
      <c r="C19" s="29" cm="1">
        <f t="array" ref="C19:C22">SUMIFS(_xlfn.ANCHORARRAY(Model!Q2),Model!G2:G21,Analysis!B19:B22)</f>
        <v>33400</v>
      </c>
      <c r="D19" s="29" cm="1">
        <f t="array" ref="D19:D22">SUMIFS(_xlfn.ANCHORARRAY(Model!R2),Model!G2:G21,B19:B22)</f>
        <v>11000</v>
      </c>
      <c r="E19" s="71"/>
      <c r="F19" s="76" t="s">
        <v>108</v>
      </c>
      <c r="G19" s="46">
        <f>SUMIFS(_xlfn.ANCHORARRAY(Model!R2),Model!M2:M21,Analysis!G18)</f>
        <v>11000</v>
      </c>
      <c r="I19" s="34" t="str" cm="1">
        <f t="array" ref="I19:I20">_xlfn.UNIQUE(_xlfn._xlws.SORT(_xlfn.ANCHORARRAY(Model!C2)))</f>
        <v>Corporate</v>
      </c>
      <c r="J19" s="29" cm="1">
        <f t="array" ref="J19:J20">SUMIFS(_xlfn.ANCHORARRAY(Model!Q2),_xlfn.ANCHORARRAY(Model!C2),_xlfn.ANCHORARRAY(Analysis!I19))</f>
        <v>71360</v>
      </c>
      <c r="K19" s="29" cm="1">
        <f t="array" ref="K19:K20">SUMIFS(_xlfn.ANCHORARRAY(Model!R2),_xlfn.ANCHORARRAY(Model!C2),_xlfn.ANCHORARRAY(Analysis!I19))</f>
        <v>19060</v>
      </c>
      <c r="M19" s="1">
        <v>4</v>
      </c>
      <c r="N19" s="2">
        <v>3000</v>
      </c>
    </row>
    <row r="20" spans="2:16">
      <c r="B20" s="38" t="s">
        <v>17</v>
      </c>
      <c r="C20" s="44">
        <v>64760</v>
      </c>
      <c r="D20" s="44">
        <v>15460</v>
      </c>
      <c r="E20" s="45"/>
      <c r="I20" s="34" t="str">
        <v>Retail</v>
      </c>
      <c r="J20" s="2">
        <v>95305</v>
      </c>
      <c r="K20" s="2">
        <v>29605</v>
      </c>
      <c r="M20" s="1">
        <v>5</v>
      </c>
      <c r="N20" s="2">
        <v>2750</v>
      </c>
    </row>
    <row r="21" spans="2:16">
      <c r="B21" s="38" t="s">
        <v>22</v>
      </c>
      <c r="C21" s="44">
        <v>37675</v>
      </c>
      <c r="D21" s="44">
        <v>13175</v>
      </c>
      <c r="E21" s="43"/>
      <c r="F21" s="56" t="s">
        <v>112</v>
      </c>
      <c r="G21" s="59"/>
      <c r="M21" s="1">
        <v>6</v>
      </c>
      <c r="N21" s="2">
        <v>2750</v>
      </c>
    </row>
    <row r="22" spans="2:16" ht="29.25">
      <c r="B22" s="38" t="s">
        <v>26</v>
      </c>
      <c r="C22" s="44">
        <v>30830</v>
      </c>
      <c r="D22" s="44">
        <v>9030</v>
      </c>
      <c r="E22" s="43"/>
      <c r="F22" s="69" t="s">
        <v>113</v>
      </c>
      <c r="G22" s="29" cm="1">
        <f t="array" ref="G22">SUM(_xlfn.ANCHORARRAY(Model!O2))- SUM(_xlfn.ANCHORARRAY(Model!N2)*Model!J2:J21)</f>
        <v>73900</v>
      </c>
      <c r="M22" s="1">
        <v>7</v>
      </c>
      <c r="N22" s="2">
        <v>2650</v>
      </c>
    </row>
    <row r="23" spans="2:16" ht="29.25">
      <c r="F23" s="69" t="s">
        <v>114</v>
      </c>
      <c r="G23" s="29">
        <f>SUM(_xlfn.ANCHORARRAY(Model!R2))</f>
        <v>48665</v>
      </c>
      <c r="M23" s="1">
        <v>8</v>
      </c>
      <c r="N23" s="2">
        <v>2300</v>
      </c>
    </row>
    <row r="24" spans="2:16">
      <c r="B24" s="58" t="s">
        <v>97</v>
      </c>
      <c r="C24" s="58"/>
      <c r="M24" s="1">
        <v>9</v>
      </c>
      <c r="N24" s="2">
        <v>2280</v>
      </c>
    </row>
    <row r="25" spans="2:16">
      <c r="B25" s="47" t="s">
        <v>115</v>
      </c>
      <c r="C25" s="47" t="s">
        <v>116</v>
      </c>
      <c r="F25" s="58" t="s">
        <v>117</v>
      </c>
      <c r="G25" s="58"/>
      <c r="M25" s="1">
        <v>10</v>
      </c>
      <c r="N25" s="2">
        <v>2200</v>
      </c>
    </row>
    <row r="26" spans="2:16">
      <c r="B26" s="34" t="str" cm="1">
        <f t="array" ref="B26:B31">_xlfn.UNIQUE(_xlfn._xlws.SORT(Model!H2:H21,,1,FALSE),FALSE,FALSE)</f>
        <v>AI Coffee Mug</v>
      </c>
      <c r="C26" s="29" cm="1">
        <f t="array" ref="C26:C31">SUMIFS(_xlfn.ANCHORARRAY(Model!R2),Model!H2:H21,_xlfn.ANCHORARRAY(Analysis!B26))</f>
        <v>6640</v>
      </c>
      <c r="F26" s="34" t="s">
        <v>118</v>
      </c>
      <c r="G26" s="77">
        <v>0.2</v>
      </c>
      <c r="M26" s="1">
        <v>11</v>
      </c>
      <c r="N26" s="2">
        <v>2100</v>
      </c>
    </row>
    <row r="27" spans="2:16">
      <c r="B27" s="34" t="str">
        <v>Gaming Mouse</v>
      </c>
      <c r="C27" s="44">
        <v>6450</v>
      </c>
      <c r="F27" s="34" t="s">
        <v>119</v>
      </c>
      <c r="G27" s="44">
        <v>3000</v>
      </c>
      <c r="M27" s="1">
        <v>12</v>
      </c>
      <c r="N27" s="2">
        <v>2000</v>
      </c>
      <c r="P27" t="s">
        <v>120</v>
      </c>
    </row>
    <row r="28" spans="2:16">
      <c r="B28" s="34" t="str">
        <v>Office Chair</v>
      </c>
      <c r="C28" s="44">
        <v>6200</v>
      </c>
      <c r="F28" s="34" t="s">
        <v>121</v>
      </c>
      <c r="G28" s="29" t="str" cm="1">
        <f t="array" ref="G28">_xlfn._xlws.FILTER(_xlfn.CHOOSECOLS(Model!H2:R21,2,1,4,9,10),((Model!L2:L21&gt;G26)*(_xlfn.ANCHORARRAY(Model!R2)&gt;Analysis!G27)&gt;=1),"None Available")</f>
        <v>None Available</v>
      </c>
      <c r="M28" s="1">
        <v>13</v>
      </c>
      <c r="N28" s="2">
        <v>2000</v>
      </c>
    </row>
    <row r="29" spans="2:16">
      <c r="B29" s="34" t="str">
        <v>Quantum Headphones</v>
      </c>
      <c r="C29" s="44">
        <v>11250</v>
      </c>
      <c r="M29" s="1">
        <v>14</v>
      </c>
      <c r="N29" s="2">
        <v>1875</v>
      </c>
    </row>
    <row r="30" spans="2:16">
      <c r="B30" s="34" t="str">
        <v>Smart Lamp</v>
      </c>
      <c r="C30" s="44">
        <v>4375</v>
      </c>
      <c r="M30" s="1">
        <v>15</v>
      </c>
      <c r="N30" s="2">
        <v>1760</v>
      </c>
    </row>
    <row r="31" spans="2:16">
      <c r="B31" s="34" t="str">
        <v>Standing Desk</v>
      </c>
      <c r="C31" s="44">
        <v>13750</v>
      </c>
      <c r="F31" s="70"/>
      <c r="G31" s="45"/>
      <c r="M31" s="1">
        <v>16</v>
      </c>
      <c r="N31" s="2">
        <v>1750</v>
      </c>
    </row>
    <row r="32" spans="2:16">
      <c r="M32" s="1">
        <v>17</v>
      </c>
      <c r="N32" s="2">
        <v>1600</v>
      </c>
    </row>
    <row r="33" spans="13:14">
      <c r="M33" s="1">
        <v>18</v>
      </c>
      <c r="N33" s="2">
        <v>1250</v>
      </c>
    </row>
    <row r="34" spans="13:14">
      <c r="M34" s="1">
        <v>19</v>
      </c>
      <c r="N34" s="2">
        <v>500</v>
      </c>
    </row>
    <row r="35" spans="13:14">
      <c r="M35" s="21">
        <v>20</v>
      </c>
      <c r="N35" s="22">
        <v>400</v>
      </c>
    </row>
    <row r="36" spans="13:14">
      <c r="M36" s="78"/>
      <c r="N36" s="78"/>
    </row>
  </sheetData>
  <mergeCells count="22">
    <mergeCell ref="F25:G25"/>
    <mergeCell ref="B24:C24"/>
    <mergeCell ref="M3:P3"/>
    <mergeCell ref="M10:S10"/>
    <mergeCell ref="M15:N15"/>
    <mergeCell ref="B10:C10"/>
    <mergeCell ref="I11:K11"/>
    <mergeCell ref="J12:K12"/>
    <mergeCell ref="J13:K13"/>
    <mergeCell ref="J14:K14"/>
    <mergeCell ref="J15:K15"/>
    <mergeCell ref="F3:G3"/>
    <mergeCell ref="F8:G8"/>
    <mergeCell ref="F13:G13"/>
    <mergeCell ref="F17:G17"/>
    <mergeCell ref="I3:K3"/>
    <mergeCell ref="J5:K5"/>
    <mergeCell ref="I7:K7"/>
    <mergeCell ref="J9:K9"/>
    <mergeCell ref="F21:G21"/>
    <mergeCell ref="B17:D17"/>
    <mergeCell ref="I17:K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67FA4-6576-426D-9D36-5C326B890D26}">
  <dimension ref="B2:C5"/>
  <sheetViews>
    <sheetView workbookViewId="0">
      <selection activeCell="F3" sqref="F3"/>
    </sheetView>
  </sheetViews>
  <sheetFormatPr defaultRowHeight="15"/>
  <cols>
    <col min="2" max="2" width="19.7109375" bestFit="1" customWidth="1"/>
    <col min="3" max="3" width="14.5703125" customWidth="1"/>
  </cols>
  <sheetData>
    <row r="2" spans="2:3">
      <c r="B2" s="34" t="s">
        <v>122</v>
      </c>
      <c r="C2" s="29">
        <f>Analysis!C4</f>
        <v>166665</v>
      </c>
    </row>
    <row r="3" spans="2:3">
      <c r="B3" s="34" t="s">
        <v>108</v>
      </c>
      <c r="C3" s="29">
        <f>Analysis!C5</f>
        <v>48665</v>
      </c>
    </row>
    <row r="4" spans="2:3">
      <c r="B4" s="34" t="s">
        <v>123</v>
      </c>
      <c r="C4" s="37">
        <f>Analysis!C7</f>
        <v>0.12500000000000003</v>
      </c>
    </row>
    <row r="5" spans="2:3">
      <c r="B5" s="34" t="s">
        <v>124</v>
      </c>
      <c r="C5" s="42">
        <f>(SUM(_xlfn.ANCHORARRAY(Analysis!O5))/SUM(Analysis!N5:N8))</f>
        <v>0.76804147465437789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B230-06E7-4587-B34D-9DD533772C85}">
  <dimension ref="A1:B11"/>
  <sheetViews>
    <sheetView tabSelected="1" workbookViewId="0">
      <pane ySplit="1" topLeftCell="A2" activePane="bottomLeft" state="frozen"/>
      <selection pane="bottomLeft" activeCell="B18" sqref="B18"/>
    </sheetView>
  </sheetViews>
  <sheetFormatPr defaultRowHeight="15"/>
  <cols>
    <col min="2" max="2" width="71.5703125" customWidth="1"/>
  </cols>
  <sheetData>
    <row r="1" spans="1:2">
      <c r="A1" s="68" t="s">
        <v>125</v>
      </c>
      <c r="B1" s="68"/>
    </row>
    <row r="2" spans="1:2">
      <c r="A2" s="48">
        <v>1</v>
      </c>
      <c r="B2" s="48" t="s">
        <v>126</v>
      </c>
    </row>
    <row r="3" spans="1:2">
      <c r="A3" s="1" t="s">
        <v>127</v>
      </c>
      <c r="B3" s="36" t="s">
        <v>128</v>
      </c>
    </row>
    <row r="4" spans="1:2">
      <c r="A4" s="48">
        <v>2</v>
      </c>
      <c r="B4" s="48" t="s">
        <v>129</v>
      </c>
    </row>
    <row r="5" spans="1:2">
      <c r="A5" s="1" t="s">
        <v>127</v>
      </c>
      <c r="B5" s="1" t="s">
        <v>130</v>
      </c>
    </row>
    <row r="6" spans="1:2">
      <c r="A6" s="48">
        <v>3</v>
      </c>
      <c r="B6" s="48" t="s">
        <v>131</v>
      </c>
    </row>
    <row r="7" spans="1:2">
      <c r="A7" s="1" t="s">
        <v>127</v>
      </c>
      <c r="B7" s="1" t="s">
        <v>132</v>
      </c>
    </row>
    <row r="8" spans="1:2">
      <c r="A8" s="48">
        <v>4</v>
      </c>
      <c r="B8" s="48" t="s">
        <v>133</v>
      </c>
    </row>
    <row r="9" spans="1:2">
      <c r="A9" s="1" t="s">
        <v>127</v>
      </c>
      <c r="B9" s="1" t="s">
        <v>134</v>
      </c>
    </row>
    <row r="10" spans="1:2">
      <c r="A10" s="48">
        <v>5</v>
      </c>
      <c r="B10" s="48" t="s">
        <v>135</v>
      </c>
    </row>
    <row r="11" spans="1:2">
      <c r="A11" s="1" t="s">
        <v>127</v>
      </c>
      <c r="B11" s="36" t="s">
        <v>136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2026-04-14T16:30:20Z</dcterms:created>
  <dcterms:modified xsi:type="dcterms:W3CDTF">2026-04-17T12:19:46Z</dcterms:modified>
  <cp:category/>
  <cp:contentStatus/>
</cp:coreProperties>
</file>